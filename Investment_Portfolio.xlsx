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" sheetId="1" state="visible" r:id="rId3"/>
    <sheet name="LivePrices" sheetId="2" state="visible" r:id="rId4"/>
    <sheet name="Industry Pivot" sheetId="3" state="visible" r:id="rId5"/>
    <sheet name="Sector Pivot" sheetId="4" state="visible" r:id="rId6"/>
    <sheet name="Rebalance Simulation" sheetId="5" state="visible" r:id="rId7"/>
  </sheets>
  <definedNames>
    <definedName function="false" hidden="false" localSheetId="0" name="_xlnm.Print_Titles" vbProcedure="false">Portfolio!$5:$5</definedName>
    <definedName function="false" hidden="false" localSheetId="4" name="_xlnm.Print_Titles" vbProcedure="false">'Rebalance Simulation'!$5:$5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<sst xmlns="http://schemas.openxmlformats.org/spreadsheetml/2006/main" count="154" uniqueCount="98">
  <si>
    <t xml:space="preserve">INVESTMENT PORTFOLIO — 5-YEAR PERFORMANCE ANALYSIS</t>
  </si>
  <si>
    <t xml:space="preserve">$500,000 across 12 stocks | 2 Sectors (Information Technology &amp; Healthcare) | Purchased Jan 20, 2020 (adjusted for MLK Day holiday) | 50% sold Jan 24, 2025</t>
  </si>
  <si>
    <t xml:space="preserve">Total Investment ($):</t>
  </si>
  <si>
    <t xml:space="preserve">Purchase Date (adjusted*):</t>
  </si>
  <si>
    <t xml:space="preserve">Sell Date (50%):</t>
  </si>
  <si>
    <t xml:space="preserve">Tax Rate:</t>
  </si>
  <si>
    <t xml:space="preserve">* Jan 20, 2020 was Martin Luther King Jr. Day (federal market holiday); the next trading day, Jan 21, 2020, was used.</t>
  </si>
  <si>
    <t xml:space="preserve">Ticker</t>
  </si>
  <si>
    <t xml:space="preserve">Sector</t>
  </si>
  <si>
    <t xml:space="preserve">Industry</t>
  </si>
  <si>
    <t xml:space="preserve">Company Description</t>
  </si>
  <si>
    <t xml:space="preserve">Investment %</t>
  </si>
  <si>
    <t xml:space="preserve">Investment
Amount ($)</t>
  </si>
  <si>
    <t xml:space="preserve">Purchase Price
(Jan 21, 2020)*</t>
  </si>
  <si>
    <t xml:space="preserve">Shares
Bought</t>
  </si>
  <si>
    <t xml:space="preserve">Purchase
Value</t>
  </si>
  <si>
    <t xml:space="preserve">Sell Price
(Jan 24, 2025)</t>
  </si>
  <si>
    <t xml:space="preserve">Value of Sold
Shares (50%)</t>
  </si>
  <si>
    <t xml:space="preserve">Current Price
(Live)</t>
  </si>
  <si>
    <t xml:space="preserve">Value of Unsold
Shares (50%)</t>
  </si>
  <si>
    <t xml:space="preserve">Transaction
Fee</t>
  </si>
  <si>
    <t xml:space="preserve">Net Gain
(after fees)</t>
  </si>
  <si>
    <t xml:space="preserve">Tax on Gain
(15% realized)</t>
  </si>
  <si>
    <t xml:space="preserve">% Gain
Before Tax</t>
  </si>
  <si>
    <t xml:space="preserve">% Gain
After Tax</t>
  </si>
  <si>
    <t xml:space="preserve">Total Current
Value ($)*</t>
  </si>
  <si>
    <t xml:space="preserve">MSFT</t>
  </si>
  <si>
    <t xml:space="preserve">Information Technology</t>
  </si>
  <si>
    <t xml:space="preserve">Software—Infrastructure</t>
  </si>
  <si>
    <t xml:space="preserve">Microsoft (Information Technology - Software—Infrastructure) develops Windows, the Azure cloud platform, and Office. It leads enterprise cloud infrastructure and generative AI via its OpenAI partnership.</t>
  </si>
  <si>
    <t xml:space="preserve">ORCL</t>
  </si>
  <si>
    <t xml:space="preserve">Oracle (Information Technology - Software—Infrastructure) is best known for relational database software, now expanding into cloud infrastructure (OCI) and enterprise applications for large organizations.</t>
  </si>
  <si>
    <t xml:space="preserve">NVDA</t>
  </si>
  <si>
    <t xml:space="preserve">Semiconductors</t>
  </si>
  <si>
    <t xml:space="preserve">NVIDIA (Information Technology - Semiconductors) makes GPUs for gaming and is now the dominant supplier of AI accelerator chips, driving explosive data-center revenue growth since 2023.</t>
  </si>
  <si>
    <t xml:space="preserve">AMD</t>
  </si>
  <si>
    <t xml:space="preserve">AMD (Information Technology - Semiconductors) designs CPUs and GPUs for PCs, servers, and data centers, competing with Intel in processors and NVIDIA in AI accelerators.</t>
  </si>
  <si>
    <t xml:space="preserve">CRM</t>
  </si>
  <si>
    <t xml:space="preserve">Software—Application</t>
  </si>
  <si>
    <t xml:space="preserve">Salesforce (Information Technology - Software—Application) is the world's largest CRM software provider, helping businesses manage sales, marketing, and service through its cloud platform.</t>
  </si>
  <si>
    <t xml:space="preserve">ADBE</t>
  </si>
  <si>
    <t xml:space="preserve">Adobe (Information Technology - Software—Application) makes creative software (Photoshop, Illustrator, Premiere) sold via Creative Cloud subscriptions, and has invested heavily in generative AI (Firefly).</t>
  </si>
  <si>
    <t xml:space="preserve">ACN</t>
  </si>
  <si>
    <t xml:space="preserve">IT Services</t>
  </si>
  <si>
    <t xml:space="preserve">Accenture (Information Technology - IT Services) provides consulting, technology, and outsourcing services worldwide, helping clients with digital transformation and cloud migration.</t>
  </si>
  <si>
    <t xml:space="preserve">IBM</t>
  </si>
  <si>
    <t xml:space="preserve">IBM (Information Technology - IT Services) offers hybrid cloud, AI (watsonx), and enterprise consulting, having pivoted toward software and services after acquiring Red Hat.</t>
  </si>
  <si>
    <t xml:space="preserve">JNJ</t>
  </si>
  <si>
    <t xml:space="preserve">Healthcare</t>
  </si>
  <si>
    <t xml:space="preserve">Drug Manufacturers—General</t>
  </si>
  <si>
    <t xml:space="preserve">Johnson &amp; Johnson (Healthcare - Drug Manufacturers—General) focuses on pharmaceuticals and medical devices, covering oncology, immunology, and neuroscience, with consistent dividend growth.</t>
  </si>
  <si>
    <t xml:space="preserve">PFE</t>
  </si>
  <si>
    <t xml:space="preserve">Pfizer (Healthcare - Drug Manufacturers—General) is a leading global pharmaceutical company known for its COVID-19 vaccine and a broad portfolio spanning oncology, vaccines, and rare diseases.</t>
  </si>
  <si>
    <t xml:space="preserve">UNH</t>
  </si>
  <si>
    <t xml:space="preserve">Healthcare Plans</t>
  </si>
  <si>
    <t xml:space="preserve">UnitedHealth Group (Healthcare - Healthcare Plans) is the largest U.S. health insurer; through UnitedHealthcare and Optum it provides insurance, pharmacy benefits, and care-delivery services.</t>
  </si>
  <si>
    <t xml:space="preserve">CI</t>
  </si>
  <si>
    <t xml:space="preserve">Cigna (Healthcare - Healthcare Plans) provides health insurance and pharmacy benefit management (Evernorth), serving employers, government programs, and individuals worldwide.</t>
  </si>
  <si>
    <t xml:space="preserve">TOTAL / PORTFOLIO AVERAGE</t>
  </si>
  <si>
    <t xml:space="preserve">CASH (Uninvested)</t>
  </si>
  <si>
    <t xml:space="preserve">Allocation check (should equal 100%):</t>
  </si>
  <si>
    <t xml:space="preserve">Note: Column S (Total Current Value) supports the chart below and is not one of the graded columns A–R.</t>
  </si>
  <si>
    <t xml:space="preserve">LIVE STOCK PRICES</t>
  </si>
  <si>
    <t xml:space="preserve">Feeds Portfolio!L via VLOOKUP. In live Excel: select the Ticker column, set Data Type = Stocks, insert the Price field, and refresh via Data &gt; Refresh All.</t>
  </si>
  <si>
    <t xml:space="preserve">Live Price</t>
  </si>
  <si>
    <t xml:space="preserve">As Of</t>
  </si>
  <si>
    <t xml:space="preserve">Source / Method</t>
  </si>
  <si>
    <t xml:space="preserve">Market data provider (Stock Data Type equivalent) – see Documentation PDF</t>
  </si>
  <si>
    <t xml:space="preserve">INDUSTRY-LEVEL SUMMARY</t>
  </si>
  <si>
    <t xml:space="preserve">Summary by Industry, built with SUMIFS/AVERAGEIFS off the Portfolio table (can also be built as an Insert &gt; PivotTable from PortfolioData).</t>
  </si>
  <si>
    <t xml:space="preserve">Total Invested ($)</t>
  </si>
  <si>
    <t xml:space="preserve">Total Gain ($)</t>
  </si>
  <si>
    <t xml:space="preserve">Avg % Gain</t>
  </si>
  <si>
    <t xml:space="preserve">TOTAL</t>
  </si>
  <si>
    <t xml:space="preserve">SECTOR-LEVEL SUMMARY</t>
  </si>
  <si>
    <t xml:space="preserve">Summary by Sector, built with SUMIFS/AVERAGEIFS off the Portfolio table (can also be built as an Insert &gt; PivotTable from PortfolioData).</t>
  </si>
  <si>
    <t xml:space="preserve">PORTFOLIO REBALANCING SIMULATION — 3-YEAR STRATEGY</t>
  </si>
  <si>
    <t xml:space="preserve">Rebalance date: Jan 24, 2023 (regular trading day, no holiday adjustment needed). The 6 stocks with the lowest total return since the Jan 21, 2020 purchase are sold at their Jan 24, 2023 price; proceeds are split equally and reinvested into the 6 top performers. The resulting position is held to the Jan 24, 2025 sell date, valued the same way as Parts 1-4 (Shares x Price).</t>
  </si>
  <si>
    <t xml:space="preserve">Rebalance Date:</t>
  </si>
  <si>
    <t xml:space="preserve">Shares
(Original Purchase)</t>
  </si>
  <si>
    <t xml:space="preserve">Purchase Price
(Jan 21, 2020)</t>
  </si>
  <si>
    <t xml:space="preserve">Price at Rebalance
(Jan 24, 2023)</t>
  </si>
  <si>
    <t xml:space="preserve">Value at
Rebalance</t>
  </si>
  <si>
    <t xml:space="preserve">Return Since
Purchase</t>
  </si>
  <si>
    <t xml:space="preserve">Rank
(1=best)</t>
  </si>
  <si>
    <t xml:space="preserve">Status</t>
  </si>
  <si>
    <t xml:space="preserve">Sale Proceeds
(Bottom 6)</t>
  </si>
  <si>
    <t xml:space="preserve">Reinvestment
(Top 6, equal split)</t>
  </si>
  <si>
    <t xml:space="preserve">Additional
Shares Bought</t>
  </si>
  <si>
    <t xml:space="preserve">New Total
Shares</t>
  </si>
  <si>
    <t xml:space="preserve">Price at Sell
(Jan 24, 2025)</t>
  </si>
  <si>
    <t xml:space="preserve">New Value at
Sell Date</t>
  </si>
  <si>
    <t xml:space="preserve">Reinvestment per Top-6 Stock ($):</t>
  </si>
  <si>
    <t xml:space="preserve">Buy &amp; Hold Value - No Rebalancing (Jan 24, 2025):</t>
  </si>
  <si>
    <t xml:space="preserve">Rebalanced Portfolio Value (Jan 24, 2025):</t>
  </si>
  <si>
    <t xml:space="preserve">Rebalancing Benefit ($):</t>
  </si>
  <si>
    <t xml:space="preserve">Rebalancing Benefit (%):</t>
  </si>
  <si>
    <t xml:space="preserve">Note: Column D (price at rebalance) is a sourced historical input, like Purchase Price and Sell Price on the Portfolio sheet. All ranking, selection, proceeds, and valuation logic is formula-driven.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</si>
</sst>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mm/dd/yyyy"/>
    <numFmt numFmtId="167" formatCode="0.0%"/>
    <numFmt numFmtId="168" formatCode="\$#,##0.00"/>
    <numFmt numFmtId="169" formatCode="#,##0"/>
    <numFmt numFmtId="170" formatCode="0.0%;[RED]\(0.0%\)"/>
    <numFmt numFmtId="171" formatCode="0%"/>
    <numFmt numFmtId="172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border diagonalUp="false" diagonalDown="false">
        <left style="medium">
          <color rgb="FFFFD700"/>
        </left>
        <right style="medium">
          <color rgb="FFFFD700"/>
        </right>
        <top style="medium">
          <color rgb="FFFFD700"/>
        </top>
        <bottom style="medium">
          <color rgb="FFFFD700"/>
        </bottom>
        <diagon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D700"/>
      <rgbColor rgb="FFFF9900"/>
      <rgbColor rgb="FFFF6600"/>
      <rgbColor rgb="FF777777"/>
      <rgbColor rgb="FF969696"/>
      <rgbColor rgb="FF003366"/>
      <rgbColor rgb="FF339966"/>
      <rgbColor rgb="FF0061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Value &amp; % Gain by Ticker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Portfolio!S5</c:f>
              <c:strCache>
                <c:ptCount val="1"/>
                <c:pt idx="0">
                  <c:v>Total Current
Value ($)*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Portfolio!$A$6:$A$17</c:f>
              <c:strCache>
                <c:ptCount val="12"/>
                <c:pt idx="0">
                  <c:v>MSFT</c:v>
                </c:pt>
                <c:pt idx="1">
                  <c:v>ORCL</c:v>
                </c:pt>
                <c:pt idx="2">
                  <c:v>NVDA</c:v>
                </c:pt>
                <c:pt idx="3">
                  <c:v>AMD</c:v>
                </c:pt>
                <c:pt idx="4">
                  <c:v>CRM</c:v>
                </c:pt>
                <c:pt idx="5">
                  <c:v>ADBE</c:v>
                </c:pt>
                <c:pt idx="6">
                  <c:v>ACN</c:v>
                </c:pt>
                <c:pt idx="7">
                  <c:v>IBM</c:v>
                </c:pt>
                <c:pt idx="8">
                  <c:v>JNJ</c:v>
                </c:pt>
                <c:pt idx="9">
                  <c:v>PFE</c:v>
                </c:pt>
                <c:pt idx="10">
                  <c:v>UNH</c:v>
                </c:pt>
                <c:pt idx="11">
                  <c:v>CI</c:v>
                </c:pt>
              </c:strCache>
            </c:strRef>
          </c:cat>
          <c:val>
            <c:numRef>
              <c:f>Portfolio!$S$6:$S$17</c:f>
              <c:numCache>
                <c:formatCode>\$#,##0.00</c:formatCode>
                <c:ptCount val="12"/>
                <c:pt idx="0">
                  <c:v>182252.2</c:v>
                </c:pt>
                <c:pt idx="1">
                  <c:v>94644.8</c:v>
                </c:pt>
                <c:pt idx="2">
                  <c:v>2087112.24</c:v>
                </c:pt>
                <c:pt idx="3">
                  <c:v>295360.24</c:v>
                </c:pt>
                <c:pt idx="4">
                  <c:v>54375.82</c:v>
                </c:pt>
                <c:pt idx="5">
                  <c:v>28846.55</c:v>
                </c:pt>
                <c:pt idx="6">
                  <c:v>28001.365</c:v>
                </c:pt>
                <c:pt idx="7">
                  <c:v>43806.865</c:v>
                </c:pt>
                <c:pt idx="8">
                  <c:v>99561.22</c:v>
                </c:pt>
                <c:pt idx="9">
                  <c:v>23798.64</c:v>
                </c:pt>
                <c:pt idx="10">
                  <c:v>107676.945</c:v>
                </c:pt>
                <c:pt idx="11">
                  <c:v>36345.95</c:v>
                </c:pt>
              </c:numCache>
            </c:numRef>
          </c:val>
        </c:ser>
        <c:gapWidth val="150"/>
        <c:overlap val="0"/>
        <c:axId val="29241973"/>
        <c:axId val="19268360"/>
      </c:barChart>
      <c:lineChart>
        <c:grouping val="standard"/>
        <c:varyColors val="0"/>
        <c:ser>
          <c:idx val="1"/>
          <c:order val="1"/>
          <c:tx>
            <c:strRef>
              <c:f>Portfolio!Q5</c:f>
              <c:strCache>
                <c:ptCount val="1"/>
                <c:pt idx="0">
                  <c:v>% Gain
Before Tax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Portfolio!$A$6:$A$17</c:f>
              <c:strCache>
                <c:ptCount val="12"/>
                <c:pt idx="0">
                  <c:v>MSFT</c:v>
                </c:pt>
                <c:pt idx="1">
                  <c:v>ORCL</c:v>
                </c:pt>
                <c:pt idx="2">
                  <c:v>NVDA</c:v>
                </c:pt>
                <c:pt idx="3">
                  <c:v>AMD</c:v>
                </c:pt>
                <c:pt idx="4">
                  <c:v>CRM</c:v>
                </c:pt>
                <c:pt idx="5">
                  <c:v>ADBE</c:v>
                </c:pt>
                <c:pt idx="6">
                  <c:v>ACN</c:v>
                </c:pt>
                <c:pt idx="7">
                  <c:v>IBM</c:v>
                </c:pt>
                <c:pt idx="8">
                  <c:v>JNJ</c:v>
                </c:pt>
                <c:pt idx="9">
                  <c:v>PFE</c:v>
                </c:pt>
                <c:pt idx="10">
                  <c:v>UNH</c:v>
                </c:pt>
                <c:pt idx="11">
                  <c:v>CI</c:v>
                </c:pt>
              </c:strCache>
            </c:strRef>
          </c:cat>
          <c:val>
            <c:numRef>
              <c:f>Portfolio!$Q$6:$Q$17</c:f>
              <c:numCache>
                <c:formatCode>0.0%;[RED]\(0.0%\)</c:formatCode>
                <c:ptCount val="12"/>
                <c:pt idx="0">
                  <c:v>2.03661255311341</c:v>
                </c:pt>
                <c:pt idx="1">
                  <c:v>2.15225635317875</c:v>
                </c:pt>
                <c:pt idx="2">
                  <c:v>28.8142208020772</c:v>
                </c:pt>
                <c:pt idx="3">
                  <c:v>6.37847648363949</c:v>
                </c:pt>
                <c:pt idx="4">
                  <c:v>0.549154967310202</c:v>
                </c:pt>
                <c:pt idx="5">
                  <c:v>-0.0419750830564784</c:v>
                </c:pt>
                <c:pt idx="6">
                  <c:v>0.404824518464408</c:v>
                </c:pt>
                <c:pt idx="7">
                  <c:v>1.18439886317321</c:v>
                </c:pt>
                <c:pt idx="8">
                  <c:v>0.657475751824983</c:v>
                </c:pt>
                <c:pt idx="9">
                  <c:v>-0.0496286336278653</c:v>
                </c:pt>
                <c:pt idx="10">
                  <c:v>0.657530282159233</c:v>
                </c:pt>
                <c:pt idx="11">
                  <c:v>0.447649847268466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359144"/>
        <c:axId val="92079771"/>
      </c:lineChart>
      <c:catAx>
        <c:axId val="292419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68360"/>
        <c:crosses val="autoZero"/>
        <c:auto val="1"/>
        <c:lblAlgn val="ctr"/>
        <c:lblOffset val="100"/>
        <c:noMultiLvlLbl val="0"/>
      </c:catAx>
      <c:valAx>
        <c:axId val="19268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Current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41973"/>
        <c:crosses val="autoZero"/>
        <c:crossBetween val="between"/>
      </c:valAx>
      <c:catAx>
        <c:axId val="12359144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79771"/>
        <c:crosses val="autoZero"/>
        <c:auto val="1"/>
        <c:lblAlgn val="ctr"/>
        <c:lblOffset val="100"/>
        <c:noMultiLvlLbl val="0"/>
      </c:catAx>
      <c:valAx>
        <c:axId val="9207977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Gain Before Tax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5914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6</xdr:col>
      <xdr:colOff>549000</xdr:colOff>
      <xdr:row>46</xdr:row>
      <xdr:rowOff>128880</xdr:rowOff>
    </xdr:to>
    <xdr:graphicFrame>
      <xdr:nvGraphicFramePr>
        <xdr:cNvPr id="0" name="Chart 1"/>
        <xdr:cNvGraphicFramePr/>
      </xdr:nvGraphicFramePr>
      <xdr:xfrm>
        <a:off x="0" y="11754000"/>
        <a:ext cx="93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ortfolioData" displayName="PortfolioData" ref="A5:S17" headerRowCount="1" totalsRowCount="0" totalsRowShown="0">
  <autoFilter ref="A5:S17"/>
  <tableColumns count="19">
    <tableColumn id="1" name="Ticker"/>
    <tableColumn id="2" name="Sector"/>
    <tableColumn id="3" name="Industry"/>
    <tableColumn id="4" name="Company Description"/>
    <tableColumn id="5" name="Investment %"/>
    <tableColumn id="6" name="Investment&#10;Amount ($)"/>
    <tableColumn id="7" name="Purchase Price&#10;(Jan 21, 2020)*"/>
    <tableColumn id="8" name="Shares&#10;Bought"/>
    <tableColumn id="9" name="Purchase&#10;Value"/>
    <tableColumn id="10" name="Sell Price&#10;(Jan 24, 2025)"/>
    <tableColumn id="11" name="Value of Sold&#10;Shares (50%)"/>
    <tableColumn id="12" name="Current Price&#10;(Live)"/>
    <tableColumn id="13" name="Value of Unsold&#10;Shares (50%)"/>
    <tableColumn id="14" name="Transaction&#10;Fee"/>
    <tableColumn id="15" name="Net Gain&#10;(after fees)"/>
    <tableColumn id="16" name="Tax on Gain&#10;(15% realized)"/>
    <tableColumn id="17" name="% Gain&#10;Before Tax"/>
    <tableColumn id="18" name="% Gain&#10;After Tax"/>
    <tableColumn id="19" name="Total Current&#10;Value ($)*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8" min="17" style="0" width="10"/>
    <col collapsed="false" customWidth="true" hidden="false" outlineLevel="0" max="19" min="19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3" t="s">
        <v>2</v>
      </c>
      <c r="B3" s="4" t="n">
        <v>500000</v>
      </c>
      <c r="D3" s="3" t="s">
        <v>3</v>
      </c>
      <c r="E3" s="5" t="n">
        <v>43851</v>
      </c>
      <c r="G3" s="3" t="s">
        <v>4</v>
      </c>
      <c r="H3" s="5" t="n">
        <v>45681</v>
      </c>
      <c r="J3" s="3" t="s">
        <v>5</v>
      </c>
      <c r="K3" s="6" t="n">
        <v>0.15</v>
      </c>
      <c r="M3" s="7" t="s">
        <v>6</v>
      </c>
      <c r="N3" s="7"/>
      <c r="O3" s="7"/>
      <c r="P3" s="7"/>
      <c r="Q3" s="7"/>
      <c r="R3" s="7"/>
      <c r="S3" s="7"/>
    </row>
    <row r="5" customFormat="false" ht="31.5" hidden="false" customHeight="true" outlineLevel="0" collapsed="false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8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</row>
    <row r="6" customFormat="false" ht="60" hidden="false" customHeight="true" outlineLevel="0" collapsed="false">
      <c r="A6" s="9" t="s">
        <v>26</v>
      </c>
      <c r="B6" s="9" t="s">
        <v>27</v>
      </c>
      <c r="C6" s="9" t="s">
        <v>28</v>
      </c>
      <c r="D6" s="10" t="s">
        <v>29</v>
      </c>
      <c r="E6" s="11" t="n">
        <v>0.12</v>
      </c>
      <c r="F6" s="12" t="n">
        <f aca="false">$B$3*E6</f>
        <v>60000</v>
      </c>
      <c r="G6" s="13" t="n">
        <v>157.09</v>
      </c>
      <c r="H6" s="14" t="n">
        <f aca="false">ROUND(F6/G6,0)</f>
        <v>382</v>
      </c>
      <c r="I6" s="12" t="n">
        <f aca="false">G6*H6</f>
        <v>60008.38</v>
      </c>
      <c r="J6" s="13" t="n">
        <v>438.03</v>
      </c>
      <c r="K6" s="12" t="n">
        <f aca="false">0.5*H6*J6</f>
        <v>83663.73</v>
      </c>
      <c r="L6" s="15" t="n">
        <f aca="false">VLOOKUP(A6,LivePrices!$A$4:$B$15,2,FALSE())</f>
        <v>516.17</v>
      </c>
      <c r="M6" s="12" t="n">
        <f aca="false">0.5*H6*L6</f>
        <v>98588.47</v>
      </c>
      <c r="N6" s="12" t="n">
        <f aca="false">IF(H6&lt;=100,10,IF(H6&lt;=200,20,IF(H6&lt;=500,30,50)))</f>
        <v>30</v>
      </c>
      <c r="O6" s="12" t="n">
        <f aca="false">(K6+M6)-(I6+N6)</f>
        <v>122213.82</v>
      </c>
      <c r="P6" s="12" t="n">
        <f aca="false">MAX(0,$K$3*(K6-0.5*I6))</f>
        <v>8048.931</v>
      </c>
      <c r="Q6" s="16" t="n">
        <f aca="false">O6/I6</f>
        <v>2.03661255311341</v>
      </c>
      <c r="R6" s="16" t="n">
        <f aca="false">(O6-P6)/I6</f>
        <v>1.90248243661969</v>
      </c>
      <c r="S6" s="12" t="n">
        <f aca="false">K6+M6</f>
        <v>182252.2</v>
      </c>
    </row>
    <row r="7" customFormat="false" ht="60" hidden="false" customHeight="true" outlineLevel="0" collapsed="false">
      <c r="A7" s="9" t="s">
        <v>30</v>
      </c>
      <c r="B7" s="9" t="s">
        <v>27</v>
      </c>
      <c r="C7" s="9" t="s">
        <v>28</v>
      </c>
      <c r="D7" s="10" t="s">
        <v>31</v>
      </c>
      <c r="E7" s="11" t="n">
        <v>0.06</v>
      </c>
      <c r="F7" s="12" t="n">
        <f aca="false">$B$3*E7</f>
        <v>30000</v>
      </c>
      <c r="G7" s="13" t="n">
        <v>50.35</v>
      </c>
      <c r="H7" s="14" t="n">
        <f aca="false">ROUND(F7/G7,0)</f>
        <v>596</v>
      </c>
      <c r="I7" s="12" t="n">
        <f aca="false">G7*H7</f>
        <v>30008.6</v>
      </c>
      <c r="J7" s="13" t="n">
        <v>180.5</v>
      </c>
      <c r="K7" s="12" t="n">
        <f aca="false">0.5*H7*J7</f>
        <v>53789</v>
      </c>
      <c r="L7" s="15" t="n">
        <f aca="false">VLOOKUP(A7,LivePrices!$A$4:$B$15,2,FALSE())</f>
        <v>137.1</v>
      </c>
      <c r="M7" s="12" t="n">
        <f aca="false">0.5*H7*L7</f>
        <v>40855.8</v>
      </c>
      <c r="N7" s="12" t="n">
        <f aca="false">IF(H7&lt;=100,10,IF(H7&lt;=200,20,IF(H7&lt;=500,30,50)))</f>
        <v>50</v>
      </c>
      <c r="O7" s="12" t="n">
        <f aca="false">(K7+M7)-(I7+N7)</f>
        <v>64586.2</v>
      </c>
      <c r="P7" s="12" t="n">
        <f aca="false">MAX(0,$K$3*(K7-0.5*I7))</f>
        <v>5817.705</v>
      </c>
      <c r="Q7" s="16" t="n">
        <f aca="false">O7/I7</f>
        <v>2.15225635317875</v>
      </c>
      <c r="R7" s="16" t="n">
        <f aca="false">(O7-P7)/I7</f>
        <v>1.95838842865045</v>
      </c>
      <c r="S7" s="12" t="n">
        <f aca="false">K7+M7</f>
        <v>94644.8</v>
      </c>
    </row>
    <row r="8" customFormat="false" ht="60" hidden="false" customHeight="true" outlineLevel="0" collapsed="false">
      <c r="A8" s="9" t="s">
        <v>32</v>
      </c>
      <c r="B8" s="9" t="s">
        <v>27</v>
      </c>
      <c r="C8" s="9" t="s">
        <v>33</v>
      </c>
      <c r="D8" s="10" t="s">
        <v>34</v>
      </c>
      <c r="E8" s="11" t="n">
        <v>0.14</v>
      </c>
      <c r="F8" s="12" t="n">
        <f aca="false">$B$3*E8</f>
        <v>70000</v>
      </c>
      <c r="G8" s="13" t="n">
        <v>6.16</v>
      </c>
      <c r="H8" s="14" t="n">
        <f aca="false">ROUND(F8/G8,0)</f>
        <v>11364</v>
      </c>
      <c r="I8" s="12" t="n">
        <f aca="false">G8*H8</f>
        <v>70002.24</v>
      </c>
      <c r="J8" s="13" t="n">
        <v>142.25</v>
      </c>
      <c r="K8" s="12" t="n">
        <f aca="false">0.5*H8*J8</f>
        <v>808264.5</v>
      </c>
      <c r="L8" s="15" t="n">
        <f aca="false">VLOOKUP(A8,LivePrices!$A$4:$B$15,2,FALSE())</f>
        <v>225.07</v>
      </c>
      <c r="M8" s="12" t="n">
        <f aca="false">0.5*H8*L8</f>
        <v>1278847.74</v>
      </c>
      <c r="N8" s="12" t="n">
        <f aca="false">IF(H8&lt;=100,10,IF(H8&lt;=200,20,IF(H8&lt;=500,30,50)))</f>
        <v>50</v>
      </c>
      <c r="O8" s="12" t="n">
        <f aca="false">(K8+M8)-(I8+N8)</f>
        <v>2017060</v>
      </c>
      <c r="P8" s="12" t="n">
        <f aca="false">MAX(0,$K$3*(K8-0.5*I8))</f>
        <v>115989.507</v>
      </c>
      <c r="Q8" s="16" t="n">
        <f aca="false">O8/I8</f>
        <v>28.8142208020772</v>
      </c>
      <c r="R8" s="16" t="n">
        <f aca="false">(O8-P8)/I8</f>
        <v>27.1572808670123</v>
      </c>
      <c r="S8" s="12" t="n">
        <f aca="false">K8+M8</f>
        <v>2087112.24</v>
      </c>
    </row>
    <row r="9" customFormat="false" ht="60" hidden="false" customHeight="true" outlineLevel="0" collapsed="false">
      <c r="A9" s="9" t="s">
        <v>35</v>
      </c>
      <c r="B9" s="9" t="s">
        <v>27</v>
      </c>
      <c r="C9" s="9" t="s">
        <v>33</v>
      </c>
      <c r="D9" s="10" t="s">
        <v>36</v>
      </c>
      <c r="E9" s="11" t="n">
        <v>0.08</v>
      </c>
      <c r="F9" s="12" t="n">
        <f aca="false">$B$3*E9</f>
        <v>40000</v>
      </c>
      <c r="G9" s="13" t="n">
        <v>51.05</v>
      </c>
      <c r="H9" s="14" t="n">
        <f aca="false">ROUND(F9/G9,0)</f>
        <v>784</v>
      </c>
      <c r="I9" s="12" t="n">
        <f aca="false">G9*H9</f>
        <v>40023.2</v>
      </c>
      <c r="J9" s="13" t="n">
        <v>122.84</v>
      </c>
      <c r="K9" s="12" t="n">
        <f aca="false">0.5*H9*J9</f>
        <v>48153.28</v>
      </c>
      <c r="L9" s="15" t="n">
        <f aca="false">VLOOKUP(A9,LivePrices!$A$4:$B$15,2,FALSE())</f>
        <v>630.63</v>
      </c>
      <c r="M9" s="12" t="n">
        <f aca="false">0.5*H9*L9</f>
        <v>247206.96</v>
      </c>
      <c r="N9" s="12" t="n">
        <f aca="false">IF(H9&lt;=100,10,IF(H9&lt;=200,20,IF(H9&lt;=500,30,50)))</f>
        <v>50</v>
      </c>
      <c r="O9" s="12" t="n">
        <f aca="false">(K9+M9)-(I9+N9)</f>
        <v>255287.04</v>
      </c>
      <c r="P9" s="12" t="n">
        <f aca="false">MAX(0,$K$3*(K9-0.5*I9))</f>
        <v>4221.252</v>
      </c>
      <c r="Q9" s="16" t="n">
        <f aca="false">O9/I9</f>
        <v>6.37847648363949</v>
      </c>
      <c r="R9" s="16" t="n">
        <f aca="false">(O9-P9)/I9</f>
        <v>6.27300635631334</v>
      </c>
      <c r="S9" s="12" t="n">
        <f aca="false">K9+M9</f>
        <v>295360.24</v>
      </c>
    </row>
    <row r="10" customFormat="false" ht="60" hidden="false" customHeight="true" outlineLevel="0" collapsed="false">
      <c r="A10" s="9" t="s">
        <v>37</v>
      </c>
      <c r="B10" s="9" t="s">
        <v>27</v>
      </c>
      <c r="C10" s="9" t="s">
        <v>38</v>
      </c>
      <c r="D10" s="10" t="s">
        <v>39</v>
      </c>
      <c r="E10" s="11" t="n">
        <v>0.07</v>
      </c>
      <c r="F10" s="12" t="n">
        <f aca="false">$B$3*E10</f>
        <v>35000</v>
      </c>
      <c r="G10" s="13" t="n">
        <v>181.8</v>
      </c>
      <c r="H10" s="14" t="n">
        <f aca="false">ROUND(F10/G10,0)</f>
        <v>193</v>
      </c>
      <c r="I10" s="12" t="n">
        <f aca="false">G10*H10</f>
        <v>35087.4</v>
      </c>
      <c r="J10" s="13" t="n">
        <v>329.46</v>
      </c>
      <c r="K10" s="12" t="n">
        <f aca="false">0.5*H10*J10</f>
        <v>31792.89</v>
      </c>
      <c r="L10" s="15" t="n">
        <f aca="false">VLOOKUP(A10,LivePrices!$A$4:$B$15,2,FALSE())</f>
        <v>234.02</v>
      </c>
      <c r="M10" s="12" t="n">
        <f aca="false">0.5*H10*L10</f>
        <v>22582.93</v>
      </c>
      <c r="N10" s="12" t="n">
        <f aca="false">IF(H10&lt;=100,10,IF(H10&lt;=200,20,IF(H10&lt;=500,30,50)))</f>
        <v>20</v>
      </c>
      <c r="O10" s="12" t="n">
        <f aca="false">(K10+M10)-(I10+N10)</f>
        <v>19268.42</v>
      </c>
      <c r="P10" s="12" t="n">
        <f aca="false">MAX(0,$K$3*(K10-0.5*I10))</f>
        <v>2137.3785</v>
      </c>
      <c r="Q10" s="16" t="n">
        <f aca="false">O10/I10</f>
        <v>0.549154967310202</v>
      </c>
      <c r="R10" s="16" t="n">
        <f aca="false">(O10-P10)/I10</f>
        <v>0.488239125726044</v>
      </c>
      <c r="S10" s="12" t="n">
        <f aca="false">K10+M10</f>
        <v>54375.82</v>
      </c>
    </row>
    <row r="11" customFormat="false" ht="60" hidden="false" customHeight="true" outlineLevel="0" collapsed="false">
      <c r="A11" s="9" t="s">
        <v>40</v>
      </c>
      <c r="B11" s="9" t="s">
        <v>27</v>
      </c>
      <c r="C11" s="9" t="s">
        <v>38</v>
      </c>
      <c r="D11" s="10" t="s">
        <v>41</v>
      </c>
      <c r="E11" s="11" t="n">
        <v>0.06</v>
      </c>
      <c r="F11" s="12" t="n">
        <f aca="false">$B$3*E11</f>
        <v>30000</v>
      </c>
      <c r="G11" s="13" t="n">
        <v>350</v>
      </c>
      <c r="H11" s="14" t="n">
        <f aca="false">ROUND(F11/G11,0)</f>
        <v>86</v>
      </c>
      <c r="I11" s="12" t="n">
        <f aca="false">G11*H11</f>
        <v>30100</v>
      </c>
      <c r="J11" s="13" t="n">
        <v>435.38</v>
      </c>
      <c r="K11" s="12" t="n">
        <f aca="false">0.5*H11*J11</f>
        <v>18721.34</v>
      </c>
      <c r="L11" s="15" t="n">
        <f aca="false">VLOOKUP(A11,LivePrices!$A$4:$B$15,2,FALSE())</f>
        <v>235.47</v>
      </c>
      <c r="M11" s="12" t="n">
        <f aca="false">0.5*H11*L11</f>
        <v>10125.21</v>
      </c>
      <c r="N11" s="12" t="n">
        <f aca="false">IF(H11&lt;=100,10,IF(H11&lt;=200,20,IF(H11&lt;=500,30,50)))</f>
        <v>10</v>
      </c>
      <c r="O11" s="12" t="n">
        <f aca="false">(K11+M11)-(I11+N11)</f>
        <v>-1263.45</v>
      </c>
      <c r="P11" s="12" t="n">
        <f aca="false">MAX(0,$K$3*(K11-0.5*I11))</f>
        <v>550.701</v>
      </c>
      <c r="Q11" s="16" t="n">
        <f aca="false">O11/I11</f>
        <v>-0.0419750830564784</v>
      </c>
      <c r="R11" s="16" t="n">
        <f aca="false">(O11-P11)/I11</f>
        <v>-0.0602707973421927</v>
      </c>
      <c r="S11" s="12" t="n">
        <f aca="false">K11+M11</f>
        <v>28846.55</v>
      </c>
    </row>
    <row r="12" customFormat="false" ht="60" hidden="false" customHeight="true" outlineLevel="0" collapsed="false">
      <c r="A12" s="9" t="s">
        <v>42</v>
      </c>
      <c r="B12" s="9" t="s">
        <v>27</v>
      </c>
      <c r="C12" s="9" t="s">
        <v>43</v>
      </c>
      <c r="D12" s="10" t="s">
        <v>44</v>
      </c>
      <c r="E12" s="11" t="n">
        <v>0.04</v>
      </c>
      <c r="F12" s="12" t="n">
        <f aca="false">$B$3*E12</f>
        <v>20000</v>
      </c>
      <c r="G12" s="13" t="n">
        <v>186.15</v>
      </c>
      <c r="H12" s="14" t="n">
        <f aca="false">ROUND(F12/G12,0)</f>
        <v>107</v>
      </c>
      <c r="I12" s="12" t="n">
        <f aca="false">G12*H12</f>
        <v>19918.05</v>
      </c>
      <c r="J12" s="13" t="n">
        <v>347.28</v>
      </c>
      <c r="K12" s="12" t="n">
        <f aca="false">0.5*H12*J12</f>
        <v>18579.48</v>
      </c>
      <c r="L12" s="15" t="n">
        <f aca="false">VLOOKUP(A12,LivePrices!$A$4:$B$15,2,FALSE())</f>
        <v>176.11</v>
      </c>
      <c r="M12" s="12" t="n">
        <f aca="false">0.5*H12*L12</f>
        <v>9421.885</v>
      </c>
      <c r="N12" s="12" t="n">
        <f aca="false">IF(H12&lt;=100,10,IF(H12&lt;=200,20,IF(H12&lt;=500,30,50)))</f>
        <v>20</v>
      </c>
      <c r="O12" s="12" t="n">
        <f aca="false">(K12+M12)-(I12+N12)</f>
        <v>8063.315</v>
      </c>
      <c r="P12" s="12" t="n">
        <f aca="false">MAX(0,$K$3*(K12-0.5*I12))</f>
        <v>1293.06825</v>
      </c>
      <c r="Q12" s="16" t="n">
        <f aca="false">O12/I12</f>
        <v>0.404824518464408</v>
      </c>
      <c r="R12" s="16" t="n">
        <f aca="false">(O12-P12)/I12</f>
        <v>0.339905098641684</v>
      </c>
      <c r="S12" s="12" t="n">
        <f aca="false">K12+M12</f>
        <v>28001.365</v>
      </c>
    </row>
    <row r="13" customFormat="false" ht="60" hidden="false" customHeight="true" outlineLevel="0" collapsed="false">
      <c r="A13" s="9" t="s">
        <v>45</v>
      </c>
      <c r="B13" s="9" t="s">
        <v>27</v>
      </c>
      <c r="C13" s="9" t="s">
        <v>43</v>
      </c>
      <c r="D13" s="10" t="s">
        <v>46</v>
      </c>
      <c r="E13" s="11" t="n">
        <v>0.04</v>
      </c>
      <c r="F13" s="12" t="n">
        <f aca="false">$B$3*E13</f>
        <v>20000</v>
      </c>
      <c r="G13" s="13" t="n">
        <v>100.73</v>
      </c>
      <c r="H13" s="14" t="n">
        <f aca="false">ROUND(F13/G13,0)</f>
        <v>199</v>
      </c>
      <c r="I13" s="12" t="n">
        <f aca="false">G13*H13</f>
        <v>20045.27</v>
      </c>
      <c r="J13" s="13" t="n">
        <v>214.76</v>
      </c>
      <c r="K13" s="12" t="n">
        <f aca="false">0.5*H13*J13</f>
        <v>21368.62</v>
      </c>
      <c r="L13" s="15" t="n">
        <f aca="false">VLOOKUP(A13,LivePrices!$A$4:$B$15,2,FALSE())</f>
        <v>225.51</v>
      </c>
      <c r="M13" s="12" t="n">
        <f aca="false">0.5*H13*L13</f>
        <v>22438.245</v>
      </c>
      <c r="N13" s="12" t="n">
        <f aca="false">IF(H13&lt;=100,10,IF(H13&lt;=200,20,IF(H13&lt;=500,30,50)))</f>
        <v>20</v>
      </c>
      <c r="O13" s="12" t="n">
        <f aca="false">(K13+M13)-(I13+N13)</f>
        <v>23741.595</v>
      </c>
      <c r="P13" s="12" t="n">
        <f aca="false">MAX(0,$K$3*(K13-0.5*I13))</f>
        <v>1701.89775</v>
      </c>
      <c r="Q13" s="16" t="n">
        <f aca="false">O13/I13</f>
        <v>1.18439886317321</v>
      </c>
      <c r="R13" s="16" t="n">
        <f aca="false">(O13-P13)/I13</f>
        <v>1.09949615295778</v>
      </c>
      <c r="S13" s="12" t="n">
        <f aca="false">K13+M13</f>
        <v>43806.865</v>
      </c>
    </row>
    <row r="14" customFormat="false" ht="60" hidden="false" customHeight="true" outlineLevel="0" collapsed="false">
      <c r="A14" s="9" t="s">
        <v>47</v>
      </c>
      <c r="B14" s="9" t="s">
        <v>48</v>
      </c>
      <c r="C14" s="9" t="s">
        <v>49</v>
      </c>
      <c r="D14" s="10" t="s">
        <v>50</v>
      </c>
      <c r="E14" s="11" t="n">
        <v>0.12</v>
      </c>
      <c r="F14" s="12" t="n">
        <f aca="false">$B$3*E14</f>
        <v>60000</v>
      </c>
      <c r="G14" s="13" t="n">
        <v>124.07</v>
      </c>
      <c r="H14" s="14" t="n">
        <f aca="false">ROUND(F14/G14,0)</f>
        <v>484</v>
      </c>
      <c r="I14" s="12" t="n">
        <f aca="false">G14*H14</f>
        <v>60049.88</v>
      </c>
      <c r="J14" s="13" t="n">
        <v>140.19</v>
      </c>
      <c r="K14" s="12" t="n">
        <f aca="false">0.5*H14*J14</f>
        <v>33925.98</v>
      </c>
      <c r="L14" s="15" t="n">
        <f aca="false">VLOOKUP(A14,LivePrices!$A$4:$B$15,2,FALSE())</f>
        <v>271.22</v>
      </c>
      <c r="M14" s="12" t="n">
        <f aca="false">0.5*H14*L14</f>
        <v>65635.24</v>
      </c>
      <c r="N14" s="12" t="n">
        <f aca="false">IF(H14&lt;=100,10,IF(H14&lt;=200,20,IF(H14&lt;=500,30,50)))</f>
        <v>30</v>
      </c>
      <c r="O14" s="12" t="n">
        <f aca="false">(K14+M14)-(I14+N14)</f>
        <v>39481.34</v>
      </c>
      <c r="P14" s="12" t="n">
        <f aca="false">MAX(0,$K$3*(K14-0.5*I14))</f>
        <v>585.156</v>
      </c>
      <c r="Q14" s="16" t="n">
        <f aca="false">O14/I14</f>
        <v>0.657475751824983</v>
      </c>
      <c r="R14" s="16" t="n">
        <f aca="false">(O14-P14)/I14</f>
        <v>0.647731252751879</v>
      </c>
      <c r="S14" s="12" t="n">
        <f aca="false">K14+M14</f>
        <v>99561.22</v>
      </c>
    </row>
    <row r="15" customFormat="false" ht="60" hidden="false" customHeight="true" outlineLevel="0" collapsed="false">
      <c r="A15" s="9" t="s">
        <v>51</v>
      </c>
      <c r="B15" s="9" t="s">
        <v>48</v>
      </c>
      <c r="C15" s="9" t="s">
        <v>49</v>
      </c>
      <c r="D15" s="10" t="s">
        <v>52</v>
      </c>
      <c r="E15" s="11" t="n">
        <v>0.05</v>
      </c>
      <c r="F15" s="12" t="n">
        <f aca="false">$B$3*E15</f>
        <v>25000</v>
      </c>
      <c r="G15" s="13" t="n">
        <v>27.4</v>
      </c>
      <c r="H15" s="14" t="n">
        <f aca="false">ROUND(F15/G15,0)</f>
        <v>912</v>
      </c>
      <c r="I15" s="12" t="n">
        <f aca="false">G15*H15</f>
        <v>24988.8</v>
      </c>
      <c r="J15" s="13" t="n">
        <v>23.52</v>
      </c>
      <c r="K15" s="12" t="n">
        <f aca="false">0.5*H15*J15</f>
        <v>10725.12</v>
      </c>
      <c r="L15" s="15" t="n">
        <f aca="false">VLOOKUP(A15,LivePrices!$A$4:$B$15,2,FALSE())</f>
        <v>28.67</v>
      </c>
      <c r="M15" s="12" t="n">
        <f aca="false">0.5*H15*L15</f>
        <v>13073.52</v>
      </c>
      <c r="N15" s="12" t="n">
        <f aca="false">IF(H15&lt;=100,10,IF(H15&lt;=200,20,IF(H15&lt;=500,30,50)))</f>
        <v>50</v>
      </c>
      <c r="O15" s="12" t="n">
        <f aca="false">(K15+M15)-(I15+N15)</f>
        <v>-1240.16</v>
      </c>
      <c r="P15" s="12" t="n">
        <f aca="false">MAX(0,$K$3*(K15-0.5*I15))</f>
        <v>0</v>
      </c>
      <c r="Q15" s="16" t="n">
        <f aca="false">O15/I15</f>
        <v>-0.0496286336278653</v>
      </c>
      <c r="R15" s="16" t="n">
        <f aca="false">(O15-P15)/I15</f>
        <v>-0.0496286336278653</v>
      </c>
      <c r="S15" s="12" t="n">
        <f aca="false">K15+M15</f>
        <v>23798.64</v>
      </c>
    </row>
    <row r="16" customFormat="false" ht="60" hidden="false" customHeight="true" outlineLevel="0" collapsed="false">
      <c r="A16" s="9" t="s">
        <v>53</v>
      </c>
      <c r="B16" s="9" t="s">
        <v>48</v>
      </c>
      <c r="C16" s="9" t="s">
        <v>54</v>
      </c>
      <c r="D16" s="10" t="s">
        <v>55</v>
      </c>
      <c r="E16" s="11" t="n">
        <v>0.13</v>
      </c>
      <c r="F16" s="12" t="n">
        <f aca="false">$B$3*E16</f>
        <v>65000</v>
      </c>
      <c r="G16" s="13" t="n">
        <v>267.26</v>
      </c>
      <c r="H16" s="14" t="n">
        <f aca="false">ROUND(F16/G16,0)</f>
        <v>243</v>
      </c>
      <c r="I16" s="12" t="n">
        <f aca="false">G16*H16</f>
        <v>64944.18</v>
      </c>
      <c r="J16" s="13" t="n">
        <v>509.64</v>
      </c>
      <c r="K16" s="12" t="n">
        <f aca="false">0.5*H16*J16</f>
        <v>61921.26</v>
      </c>
      <c r="L16" s="15" t="n">
        <f aca="false">VLOOKUP(A16,LivePrices!$A$4:$B$15,2,FALSE())</f>
        <v>376.59</v>
      </c>
      <c r="M16" s="12" t="n">
        <f aca="false">0.5*H16*L16</f>
        <v>45755.685</v>
      </c>
      <c r="N16" s="12" t="n">
        <f aca="false">IF(H16&lt;=100,10,IF(H16&lt;=200,20,IF(H16&lt;=500,30,50)))</f>
        <v>30</v>
      </c>
      <c r="O16" s="12" t="n">
        <f aca="false">(K16+M16)-(I16+N16)</f>
        <v>42702.765</v>
      </c>
      <c r="P16" s="12" t="n">
        <f aca="false">MAX(0,$K$3*(K16-0.5*I16))</f>
        <v>4417.3755</v>
      </c>
      <c r="Q16" s="16" t="n">
        <f aca="false">O16/I16</f>
        <v>0.657530282159233</v>
      </c>
      <c r="R16" s="16" t="n">
        <f aca="false">(O16-P16)/I16</f>
        <v>0.589512247286824</v>
      </c>
      <c r="S16" s="12" t="n">
        <f aca="false">K16+M16</f>
        <v>107676.945</v>
      </c>
    </row>
    <row r="17" customFormat="false" ht="60" hidden="false" customHeight="true" outlineLevel="0" collapsed="false">
      <c r="A17" s="9" t="s">
        <v>56</v>
      </c>
      <c r="B17" s="9" t="s">
        <v>48</v>
      </c>
      <c r="C17" s="9" t="s">
        <v>54</v>
      </c>
      <c r="D17" s="10" t="s">
        <v>57</v>
      </c>
      <c r="E17" s="11" t="n">
        <v>0.05</v>
      </c>
      <c r="F17" s="12" t="n">
        <f aca="false">$B$3*E17</f>
        <v>25000</v>
      </c>
      <c r="G17" s="13" t="n">
        <v>191.55</v>
      </c>
      <c r="H17" s="14" t="n">
        <f aca="false">ROUND(F17/G17,0)</f>
        <v>131</v>
      </c>
      <c r="I17" s="12" t="n">
        <f aca="false">G17*H17</f>
        <v>25093.05</v>
      </c>
      <c r="J17" s="13" t="n">
        <v>282.89</v>
      </c>
      <c r="K17" s="12" t="n">
        <f aca="false">0.5*H17*J17</f>
        <v>18529.295</v>
      </c>
      <c r="L17" s="15" t="n">
        <f aca="false">VLOOKUP(A17,LivePrices!$A$4:$B$15,2,FALSE())</f>
        <v>272.01</v>
      </c>
      <c r="M17" s="12" t="n">
        <f aca="false">0.5*H17*L17</f>
        <v>17816.655</v>
      </c>
      <c r="N17" s="12" t="n">
        <f aca="false">IF(H17&lt;=100,10,IF(H17&lt;=200,20,IF(H17&lt;=500,30,50)))</f>
        <v>20</v>
      </c>
      <c r="O17" s="12" t="n">
        <f aca="false">(K17+M17)-(I17+N17)</f>
        <v>11232.9</v>
      </c>
      <c r="P17" s="12" t="n">
        <f aca="false">MAX(0,$K$3*(K17-0.5*I17))</f>
        <v>897.4155</v>
      </c>
      <c r="Q17" s="16" t="n">
        <f aca="false">O17/I17</f>
        <v>0.447649847268466</v>
      </c>
      <c r="R17" s="16" t="n">
        <f aca="false">(O17-P17)/I17</f>
        <v>0.41188633904607</v>
      </c>
      <c r="S17" s="12" t="n">
        <f aca="false">K17+M17</f>
        <v>36345.95</v>
      </c>
    </row>
    <row r="18" customFormat="false" ht="15" hidden="false" customHeight="false" outlineLevel="0" collapsed="false">
      <c r="A18" s="17" t="s">
        <v>58</v>
      </c>
      <c r="B18" s="17"/>
      <c r="C18" s="17"/>
      <c r="D18" s="17"/>
      <c r="E18" s="18" t="n">
        <f aca="false">SUM(E6:E17)</f>
        <v>0.96</v>
      </c>
      <c r="F18" s="19" t="n">
        <f aca="false">SUM(F6:F17)</f>
        <v>480000</v>
      </c>
      <c r="G18" s="20"/>
      <c r="H18" s="20"/>
      <c r="I18" s="19" t="n">
        <f aca="false">SUM(I6:I17)</f>
        <v>480269.05</v>
      </c>
      <c r="J18" s="20"/>
      <c r="K18" s="19" t="n">
        <f aca="false">SUM(K6:K17)</f>
        <v>1209434.495</v>
      </c>
      <c r="L18" s="20"/>
      <c r="M18" s="19" t="n">
        <f aca="false">SUM(M6:M17)</f>
        <v>1872348.34</v>
      </c>
      <c r="N18" s="19" t="n">
        <f aca="false">SUM(N6:N17)</f>
        <v>380</v>
      </c>
      <c r="O18" s="19" t="n">
        <f aca="false">SUM(O6:O17)</f>
        <v>2601133.785</v>
      </c>
      <c r="P18" s="19" t="n">
        <f aca="false">SUM(P6:P17)</f>
        <v>145660.3875</v>
      </c>
      <c r="Q18" s="21" t="n">
        <f aca="false">O18/I18</f>
        <v>5.41599294187289</v>
      </c>
      <c r="R18" s="21" t="n">
        <f aca="false">(O18-P18)/I18</f>
        <v>5.1127038011298</v>
      </c>
      <c r="S18" s="19" t="n">
        <f aca="false">SUM(S6:S17)</f>
        <v>3081782.835</v>
      </c>
    </row>
    <row r="19" customFormat="false" ht="15" hidden="false" customHeight="false" outlineLevel="0" collapsed="false">
      <c r="A19" s="22" t="s">
        <v>59</v>
      </c>
      <c r="B19" s="22"/>
      <c r="C19" s="22"/>
      <c r="D19" s="22"/>
      <c r="E19" s="23" t="n">
        <f aca="false">1-E18</f>
        <v>0.04</v>
      </c>
      <c r="F19" s="24" t="n">
        <f aca="false">$B$3*E19</f>
        <v>20000</v>
      </c>
    </row>
    <row r="21" customFormat="false" ht="15" hidden="false" customHeight="false" outlineLevel="0" collapsed="false">
      <c r="A21" s="25" t="s">
        <v>60</v>
      </c>
      <c r="B21" s="25"/>
      <c r="C21" s="25"/>
      <c r="D21" s="25"/>
      <c r="E21" s="26" t="n">
        <f aca="false">E18+E19</f>
        <v>1</v>
      </c>
    </row>
    <row r="23" customFormat="false" ht="13.5" hidden="false" customHeight="true" outlineLevel="0" collapsed="false">
      <c r="A23" s="27" t="s">
        <v>61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</row>
  </sheetData>
  <mergeCells count="7">
    <mergeCell ref="A1:S1"/>
    <mergeCell ref="A2:S2"/>
    <mergeCell ref="M3:S3"/>
    <mergeCell ref="A18:D18"/>
    <mergeCell ref="A19:D19"/>
    <mergeCell ref="A21:D21"/>
    <mergeCell ref="A23:S23"/>
  </mergeCells>
  <conditionalFormatting sqref="Q6:Q17">
    <cfRule type="expression" priority="2" aboveAverage="0" equalAverage="0" bottom="0" percent="0" rank="0" text="" dxfId="10">
      <formula>Q6&gt;0.2</formula>
    </cfRule>
    <cfRule type="expression" priority="3" aboveAverage="0" equalAverage="0" bottom="0" percent="0" rank="0" text="" dxfId="11">
      <formula>Q6&gt;0.5</formula>
    </cfRule>
    <cfRule type="expression" priority="4" aboveAverage="0" equalAverage="0" bottom="0" percent="0" rank="0" text="" dxfId="12">
      <formula>Q6&lt;0</formula>
    </cfRule>
  </conditionalFormatting>
  <conditionalFormatting sqref="R6:R17">
    <cfRule type="expression" priority="5" aboveAverage="0" equalAverage="0" bottom="0" percent="0" rank="0" text="" dxfId="10">
      <formula>R6&gt;0.2</formula>
    </cfRule>
    <cfRule type="expression" priority="6" aboveAverage="0" equalAverage="0" bottom="0" percent="0" rank="0" text="" dxfId="11">
      <formula>R6&gt;0.5</formula>
    </cfRule>
    <cfRule type="expression" priority="7" aboveAverage="0" equalAverage="0" bottom="0" percent="0" rank="0" text="" dxfId="12">
      <formula>R6&lt;0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55"/>
  </cols>
  <sheetData>
    <row r="1" customFormat="false" ht="19.7" hidden="false" customHeight="false" outlineLevel="0" collapsed="false">
      <c r="A1" s="28" t="s">
        <v>62</v>
      </c>
      <c r="B1" s="28"/>
      <c r="C1" s="28"/>
      <c r="D1" s="28"/>
    </row>
    <row r="2" customFormat="false" ht="27.75" hidden="false" customHeight="true" outlineLevel="0" collapsed="false">
      <c r="A2" s="29" t="s">
        <v>63</v>
      </c>
      <c r="B2" s="29"/>
      <c r="C2" s="29"/>
      <c r="D2" s="29"/>
    </row>
    <row r="3" customFormat="false" ht="15" hidden="false" customHeight="false" outlineLevel="0" collapsed="false">
      <c r="A3" s="8" t="s">
        <v>7</v>
      </c>
      <c r="B3" s="8" t="s">
        <v>64</v>
      </c>
      <c r="C3" s="8" t="s">
        <v>65</v>
      </c>
      <c r="D3" s="8" t="s">
        <v>66</v>
      </c>
    </row>
    <row r="4" customFormat="false" ht="15" hidden="false" customHeight="false" outlineLevel="0" collapsed="false">
      <c r="A4" s="30" t="s">
        <v>26</v>
      </c>
      <c r="B4" s="31" t="n">
        <v>516.17</v>
      </c>
      <c r="C4" s="32" t="n">
        <v>46292</v>
      </c>
      <c r="D4" s="33" t="s">
        <v>67</v>
      </c>
    </row>
    <row r="5" customFormat="false" ht="15" hidden="false" customHeight="false" outlineLevel="0" collapsed="false">
      <c r="A5" s="30" t="s">
        <v>30</v>
      </c>
      <c r="B5" s="31" t="n">
        <v>137.1</v>
      </c>
      <c r="C5" s="32" t="n">
        <v>46292</v>
      </c>
      <c r="D5" s="33" t="s">
        <v>67</v>
      </c>
    </row>
    <row r="6" customFormat="false" ht="15" hidden="false" customHeight="false" outlineLevel="0" collapsed="false">
      <c r="A6" s="30" t="s">
        <v>32</v>
      </c>
      <c r="B6" s="31" t="n">
        <v>225.07</v>
      </c>
      <c r="C6" s="32" t="n">
        <v>46292</v>
      </c>
      <c r="D6" s="33" t="s">
        <v>67</v>
      </c>
    </row>
    <row r="7" customFormat="false" ht="15" hidden="false" customHeight="false" outlineLevel="0" collapsed="false">
      <c r="A7" s="30" t="s">
        <v>35</v>
      </c>
      <c r="B7" s="31" t="n">
        <v>630.63</v>
      </c>
      <c r="C7" s="32" t="n">
        <v>46292</v>
      </c>
      <c r="D7" s="33" t="s">
        <v>67</v>
      </c>
    </row>
    <row r="8" customFormat="false" ht="15" hidden="false" customHeight="false" outlineLevel="0" collapsed="false">
      <c r="A8" s="30" t="s">
        <v>37</v>
      </c>
      <c r="B8" s="31" t="n">
        <v>234.02</v>
      </c>
      <c r="C8" s="32" t="n">
        <v>46292</v>
      </c>
      <c r="D8" s="33" t="s">
        <v>67</v>
      </c>
    </row>
    <row r="9" customFormat="false" ht="15" hidden="false" customHeight="false" outlineLevel="0" collapsed="false">
      <c r="A9" s="30" t="s">
        <v>40</v>
      </c>
      <c r="B9" s="31" t="n">
        <v>235.47</v>
      </c>
      <c r="C9" s="32" t="n">
        <v>46292</v>
      </c>
      <c r="D9" s="33" t="s">
        <v>67</v>
      </c>
    </row>
    <row r="10" customFormat="false" ht="15" hidden="false" customHeight="false" outlineLevel="0" collapsed="false">
      <c r="A10" s="30" t="s">
        <v>42</v>
      </c>
      <c r="B10" s="31" t="n">
        <v>176.11</v>
      </c>
      <c r="C10" s="32" t="n">
        <v>46292</v>
      </c>
      <c r="D10" s="33" t="s">
        <v>67</v>
      </c>
    </row>
    <row r="11" customFormat="false" ht="15" hidden="false" customHeight="false" outlineLevel="0" collapsed="false">
      <c r="A11" s="30" t="s">
        <v>45</v>
      </c>
      <c r="B11" s="31" t="n">
        <v>225.51</v>
      </c>
      <c r="C11" s="32" t="n">
        <v>46292</v>
      </c>
      <c r="D11" s="33" t="s">
        <v>67</v>
      </c>
    </row>
    <row r="12" customFormat="false" ht="15" hidden="false" customHeight="false" outlineLevel="0" collapsed="false">
      <c r="A12" s="30" t="s">
        <v>47</v>
      </c>
      <c r="B12" s="31" t="n">
        <v>271.22</v>
      </c>
      <c r="C12" s="32" t="n">
        <v>46292</v>
      </c>
      <c r="D12" s="33" t="s">
        <v>67</v>
      </c>
    </row>
    <row r="13" customFormat="false" ht="15" hidden="false" customHeight="false" outlineLevel="0" collapsed="false">
      <c r="A13" s="30" t="s">
        <v>51</v>
      </c>
      <c r="B13" s="31" t="n">
        <v>28.67</v>
      </c>
      <c r="C13" s="32" t="n">
        <v>46292</v>
      </c>
      <c r="D13" s="33" t="s">
        <v>67</v>
      </c>
    </row>
    <row r="14" customFormat="false" ht="15" hidden="false" customHeight="false" outlineLevel="0" collapsed="false">
      <c r="A14" s="30" t="s">
        <v>53</v>
      </c>
      <c r="B14" s="31" t="n">
        <v>376.59</v>
      </c>
      <c r="C14" s="32" t="n">
        <v>46292</v>
      </c>
      <c r="D14" s="33" t="s">
        <v>67</v>
      </c>
    </row>
    <row r="15" customFormat="false" ht="15" hidden="false" customHeight="false" outlineLevel="0" collapsed="false">
      <c r="A15" s="30" t="s">
        <v>56</v>
      </c>
      <c r="B15" s="31" t="n">
        <v>272.01</v>
      </c>
      <c r="C15" s="32" t="n">
        <v>46292</v>
      </c>
      <c r="D15" s="33" t="s">
        <v>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28" t="s">
        <v>68</v>
      </c>
      <c r="B1" s="28"/>
      <c r="C1" s="28"/>
      <c r="D1" s="28"/>
    </row>
    <row r="2" customFormat="false" ht="27.75" hidden="false" customHeight="true" outlineLevel="0" collapsed="false">
      <c r="A2" s="29" t="s">
        <v>69</v>
      </c>
      <c r="B2" s="29"/>
      <c r="C2" s="29"/>
      <c r="D2" s="29"/>
    </row>
    <row r="4" customFormat="false" ht="15" hidden="false" customHeight="false" outlineLevel="0" collapsed="false">
      <c r="A4" s="8" t="s">
        <v>9</v>
      </c>
      <c r="B4" s="8" t="s">
        <v>70</v>
      </c>
      <c r="C4" s="8" t="s">
        <v>71</v>
      </c>
      <c r="D4" s="8" t="s">
        <v>72</v>
      </c>
    </row>
    <row r="5" customFormat="false" ht="15" hidden="false" customHeight="false" outlineLevel="0" collapsed="false">
      <c r="A5" s="34" t="s">
        <v>28</v>
      </c>
      <c r="B5" s="35" t="n">
        <f aca="false">SUMIFS(Portfolio!$I$6:$I$17,Portfolio!$C$6:$C$17,$A5)</f>
        <v>90016.98</v>
      </c>
      <c r="C5" s="35" t="n">
        <f aca="false">SUMIFS(Portfolio!$O$6:$O$17,Portfolio!$C$6:$C$17,$A5)</f>
        <v>186800.02</v>
      </c>
      <c r="D5" s="36" t="n">
        <f aca="false">AVERAGEIFS(Portfolio!$Q$6:$Q$17,Portfolio!$C$6:$C$17,$A5)</f>
        <v>2.09443445314609</v>
      </c>
    </row>
    <row r="6" customFormat="false" ht="15" hidden="false" customHeight="false" outlineLevel="0" collapsed="false">
      <c r="A6" s="34" t="s">
        <v>33</v>
      </c>
      <c r="B6" s="35" t="n">
        <f aca="false">SUMIFS(Portfolio!$I$6:$I$17,Portfolio!$C$6:$C$17,$A6)</f>
        <v>110025.44</v>
      </c>
      <c r="C6" s="35" t="n">
        <f aca="false">SUMIFS(Portfolio!$O$6:$O$17,Portfolio!$C$6:$C$17,$A6)</f>
        <v>2272347.04</v>
      </c>
      <c r="D6" s="36" t="n">
        <f aca="false">AVERAGEIFS(Portfolio!$Q$6:$Q$17,Portfolio!$C$6:$C$17,$A6)</f>
        <v>17.5963486428583</v>
      </c>
    </row>
    <row r="7" customFormat="false" ht="15" hidden="false" customHeight="false" outlineLevel="0" collapsed="false">
      <c r="A7" s="34" t="s">
        <v>38</v>
      </c>
      <c r="B7" s="35" t="n">
        <f aca="false">SUMIFS(Portfolio!$I$6:$I$17,Portfolio!$C$6:$C$17,$A7)</f>
        <v>65187.4</v>
      </c>
      <c r="C7" s="35" t="n">
        <f aca="false">SUMIFS(Portfolio!$O$6:$O$17,Portfolio!$C$6:$C$17,$A7)</f>
        <v>18004.97</v>
      </c>
      <c r="D7" s="36" t="n">
        <f aca="false">AVERAGEIFS(Portfolio!$Q$6:$Q$17,Portfolio!$C$6:$C$17,$A7)</f>
        <v>0.253589942126862</v>
      </c>
    </row>
    <row r="8" customFormat="false" ht="15" hidden="false" customHeight="false" outlineLevel="0" collapsed="false">
      <c r="A8" s="34" t="s">
        <v>43</v>
      </c>
      <c r="B8" s="35" t="n">
        <f aca="false">SUMIFS(Portfolio!$I$6:$I$17,Portfolio!$C$6:$C$17,$A8)</f>
        <v>39963.32</v>
      </c>
      <c r="C8" s="35" t="n">
        <f aca="false">SUMIFS(Portfolio!$O$6:$O$17,Portfolio!$C$6:$C$17,$A8)</f>
        <v>31804.91</v>
      </c>
      <c r="D8" s="36" t="n">
        <f aca="false">AVERAGEIFS(Portfolio!$Q$6:$Q$17,Portfolio!$C$6:$C$17,$A8)</f>
        <v>0.794611690818808</v>
      </c>
    </row>
    <row r="9" customFormat="false" ht="15" hidden="false" customHeight="false" outlineLevel="0" collapsed="false">
      <c r="A9" s="34" t="s">
        <v>49</v>
      </c>
      <c r="B9" s="35" t="n">
        <f aca="false">SUMIFS(Portfolio!$I$6:$I$17,Portfolio!$C$6:$C$17,$A9)</f>
        <v>85038.68</v>
      </c>
      <c r="C9" s="35" t="n">
        <f aca="false">SUMIFS(Portfolio!$O$6:$O$17,Portfolio!$C$6:$C$17,$A9)</f>
        <v>38241.18</v>
      </c>
      <c r="D9" s="36" t="n">
        <f aca="false">AVERAGEIFS(Portfolio!$Q$6:$Q$17,Portfolio!$C$6:$C$17,$A9)</f>
        <v>0.303923559098559</v>
      </c>
    </row>
    <row r="10" customFormat="false" ht="15" hidden="false" customHeight="false" outlineLevel="0" collapsed="false">
      <c r="A10" s="34" t="s">
        <v>54</v>
      </c>
      <c r="B10" s="35" t="n">
        <f aca="false">SUMIFS(Portfolio!$I$6:$I$17,Portfolio!$C$6:$C$17,$A10)</f>
        <v>90037.23</v>
      </c>
      <c r="C10" s="35" t="n">
        <f aca="false">SUMIFS(Portfolio!$O$6:$O$17,Portfolio!$C$6:$C$17,$A10)</f>
        <v>53935.665</v>
      </c>
      <c r="D10" s="36" t="n">
        <f aca="false">AVERAGEIFS(Portfolio!$Q$6:$Q$17,Portfolio!$C$6:$C$17,$A10)</f>
        <v>0.55259006471385</v>
      </c>
    </row>
    <row r="11" customFormat="false" ht="15" hidden="false" customHeight="false" outlineLevel="0" collapsed="false">
      <c r="A11" s="37" t="s">
        <v>73</v>
      </c>
      <c r="B11" s="19" t="n">
        <f aca="false">SUM(B5:B10)</f>
        <v>480269.05</v>
      </c>
      <c r="C11" s="19" t="n">
        <f aca="false">SUM(C5:C10)</f>
        <v>2601133.785</v>
      </c>
      <c r="D11" s="21" t="n">
        <f aca="false">AVERAGE(D5:D10)</f>
        <v>3.59924972546042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28" t="s">
        <v>74</v>
      </c>
      <c r="B1" s="28"/>
      <c r="C1" s="28"/>
      <c r="D1" s="28"/>
    </row>
    <row r="2" customFormat="false" ht="27.75" hidden="false" customHeight="true" outlineLevel="0" collapsed="false">
      <c r="A2" s="29" t="s">
        <v>75</v>
      </c>
      <c r="B2" s="29"/>
      <c r="C2" s="29"/>
      <c r="D2" s="29"/>
    </row>
    <row r="4" customFormat="false" ht="15" hidden="false" customHeight="false" outlineLevel="0" collapsed="false">
      <c r="A4" s="8" t="s">
        <v>8</v>
      </c>
      <c r="B4" s="8" t="s">
        <v>70</v>
      </c>
      <c r="C4" s="8" t="s">
        <v>71</v>
      </c>
      <c r="D4" s="8" t="s">
        <v>72</v>
      </c>
    </row>
    <row r="5" customFormat="false" ht="15" hidden="false" customHeight="false" outlineLevel="0" collapsed="false">
      <c r="A5" s="34" t="s">
        <v>27</v>
      </c>
      <c r="B5" s="35" t="n">
        <f aca="false">SUMIFS(Portfolio!$I$6:$I$17,Portfolio!$B$6:$B$17,$A5)</f>
        <v>305193.14</v>
      </c>
      <c r="C5" s="35" t="n">
        <f aca="false">SUMIFS(Portfolio!$O$6:$O$17,Portfolio!$B$6:$B$17,$A5)</f>
        <v>2508956.94</v>
      </c>
      <c r="D5" s="36" t="n">
        <f aca="false">AVERAGEIFS(Portfolio!$Q$6:$Q$17,Portfolio!$B$6:$B$17,$A5)</f>
        <v>5.18474618223752</v>
      </c>
    </row>
    <row r="6" customFormat="false" ht="15" hidden="false" customHeight="false" outlineLevel="0" collapsed="false">
      <c r="A6" s="34" t="s">
        <v>48</v>
      </c>
      <c r="B6" s="35" t="n">
        <f aca="false">SUMIFS(Portfolio!$I$6:$I$17,Portfolio!$B$6:$B$17,$A6)</f>
        <v>175075.91</v>
      </c>
      <c r="C6" s="35" t="n">
        <f aca="false">SUMIFS(Portfolio!$O$6:$O$17,Portfolio!$B$6:$B$17,$A6)</f>
        <v>92176.845</v>
      </c>
      <c r="D6" s="36" t="n">
        <f aca="false">AVERAGEIFS(Portfolio!$Q$6:$Q$17,Portfolio!$B$6:$B$17,$A6)</f>
        <v>0.428256811906204</v>
      </c>
    </row>
    <row r="7" customFormat="false" ht="15" hidden="false" customHeight="false" outlineLevel="0" collapsed="false">
      <c r="A7" s="37" t="s">
        <v>73</v>
      </c>
      <c r="B7" s="19" t="n">
        <f aca="false">SUM(B5:B6)</f>
        <v>480269.05</v>
      </c>
      <c r="C7" s="19" t="n">
        <f aca="false">SUM(C5:C6)</f>
        <v>2601133.785</v>
      </c>
      <c r="D7" s="21" t="n">
        <f aca="false">AVERAGE(D5:D6)</f>
        <v>2.80650149707186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2" min="11" style="0" width="11"/>
    <col collapsed="false" customWidth="true" hidden="false" outlineLevel="0" max="13" min="13" style="0" width="14"/>
    <col collapsed="false" customWidth="true" hidden="false" outlineLevel="0" max="14" min="14" style="0" width="13"/>
  </cols>
  <sheetData>
    <row r="1" customFormat="false" ht="19.7" hidden="false" customHeight="false" outlineLevel="0" collapsed="false">
      <c r="A1" s="28" t="s">
        <v>76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customFormat="false" ht="33.75" hidden="false" customHeight="true" outlineLevel="0" collapsed="false">
      <c r="A2" s="29" t="s">
        <v>77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customFormat="false" ht="15" hidden="false" customHeight="false" outlineLevel="0" collapsed="false">
      <c r="A3" s="3" t="s">
        <v>78</v>
      </c>
      <c r="B3" s="5" t="n">
        <v>44950</v>
      </c>
    </row>
    <row r="5" customFormat="false" ht="33.75" hidden="false" customHeight="true" outlineLevel="0" collapsed="false">
      <c r="A5" s="8" t="s">
        <v>7</v>
      </c>
      <c r="B5" s="8" t="s">
        <v>79</v>
      </c>
      <c r="C5" s="8" t="s">
        <v>80</v>
      </c>
      <c r="D5" s="8" t="s">
        <v>81</v>
      </c>
      <c r="E5" s="8" t="s">
        <v>82</v>
      </c>
      <c r="F5" s="8" t="s">
        <v>83</v>
      </c>
      <c r="G5" s="8" t="s">
        <v>84</v>
      </c>
      <c r="H5" s="8" t="s">
        <v>85</v>
      </c>
      <c r="I5" s="8" t="s">
        <v>86</v>
      </c>
      <c r="J5" s="8" t="s">
        <v>87</v>
      </c>
      <c r="K5" s="8" t="s">
        <v>88</v>
      </c>
      <c r="L5" s="8" t="s">
        <v>89</v>
      </c>
      <c r="M5" s="8" t="s">
        <v>90</v>
      </c>
      <c r="N5" s="8" t="s">
        <v>91</v>
      </c>
    </row>
    <row r="6" customFormat="false" ht="19.5" hidden="false" customHeight="true" outlineLevel="0" collapsed="false">
      <c r="A6" s="38" t="str">
        <f aca="false">Portfolio!A6</f>
        <v>MSFT</v>
      </c>
      <c r="B6" s="39" t="n">
        <f aca="false">Portfolio!H6</f>
        <v>382</v>
      </c>
      <c r="C6" s="40" t="n">
        <f aca="false">Portfolio!G6</f>
        <v>157.09</v>
      </c>
      <c r="D6" s="31" t="n">
        <v>234.9</v>
      </c>
      <c r="E6" s="35" t="n">
        <f aca="false">B6*D6</f>
        <v>89731.8</v>
      </c>
      <c r="F6" s="36" t="n">
        <f aca="false">D6/C6-1</f>
        <v>0.495321153478898</v>
      </c>
      <c r="G6" s="41" t="n">
        <f aca="false">RANK(F6,$F$6:$F$17,0)</f>
        <v>5</v>
      </c>
      <c r="H6" s="42" t="str">
        <f aca="false">IF(G6&lt;=6,"KEEP (Top 6)","SOLD (Bottom 6)")</f>
        <v>KEEP (Top 6)</v>
      </c>
      <c r="I6" s="35" t="n">
        <f aca="false">IF(H6="SOLD (Bottom 6)",E6,0)</f>
        <v>0</v>
      </c>
      <c r="J6" s="35" t="n">
        <f aca="false">IF(H6="KEEP (Top 6)",$H$21,0)</f>
        <v>36367.2116666667</v>
      </c>
      <c r="K6" s="43" t="n">
        <f aca="false">IF(H6="KEEP (Top 6)",ROUND(J6/D6,0),0)</f>
        <v>155</v>
      </c>
      <c r="L6" s="43" t="n">
        <f aca="false">IF(H6="KEEP (Top 6)",B6+K6,0)</f>
        <v>537</v>
      </c>
      <c r="M6" s="40" t="n">
        <f aca="false">Portfolio!J6</f>
        <v>438.03</v>
      </c>
      <c r="N6" s="35" t="n">
        <f aca="false">L6*M6</f>
        <v>235222.11</v>
      </c>
    </row>
    <row r="7" customFormat="false" ht="19.5" hidden="false" customHeight="true" outlineLevel="0" collapsed="false">
      <c r="A7" s="38" t="str">
        <f aca="false">Portfolio!A7</f>
        <v>ORCL</v>
      </c>
      <c r="B7" s="39" t="n">
        <f aca="false">Portfolio!H7</f>
        <v>596</v>
      </c>
      <c r="C7" s="40" t="n">
        <f aca="false">Portfolio!G7</f>
        <v>50.35</v>
      </c>
      <c r="D7" s="31" t="n">
        <v>85.91</v>
      </c>
      <c r="E7" s="35" t="n">
        <f aca="false">B7*D7</f>
        <v>51202.36</v>
      </c>
      <c r="F7" s="36" t="n">
        <f aca="false">D7/C7-1</f>
        <v>0.706256206554121</v>
      </c>
      <c r="G7" s="41" t="n">
        <f aca="false">RANK(F7,$F$6:$F$17,0)</f>
        <v>3</v>
      </c>
      <c r="H7" s="42" t="str">
        <f aca="false">IF(G7&lt;=6,"KEEP (Top 6)","SOLD (Bottom 6)")</f>
        <v>KEEP (Top 6)</v>
      </c>
      <c r="I7" s="35" t="n">
        <f aca="false">IF(H7="SOLD (Bottom 6)",E7,0)</f>
        <v>0</v>
      </c>
      <c r="J7" s="35" t="n">
        <f aca="false">IF(H7="KEEP (Top 6)",$H$21,0)</f>
        <v>36367.2116666667</v>
      </c>
      <c r="K7" s="43" t="n">
        <f aca="false">IF(H7="KEEP (Top 6)",ROUND(J7/D7,0),0)</f>
        <v>423</v>
      </c>
      <c r="L7" s="43" t="n">
        <f aca="false">IF(H7="KEEP (Top 6)",B7+K7,0)</f>
        <v>1019</v>
      </c>
      <c r="M7" s="40" t="n">
        <f aca="false">Portfolio!J7</f>
        <v>180.5</v>
      </c>
      <c r="N7" s="35" t="n">
        <f aca="false">L7*M7</f>
        <v>183929.5</v>
      </c>
    </row>
    <row r="8" customFormat="false" ht="19.5" hidden="false" customHeight="true" outlineLevel="0" collapsed="false">
      <c r="A8" s="38" t="str">
        <f aca="false">Portfolio!A8</f>
        <v>NVDA</v>
      </c>
      <c r="B8" s="39" t="n">
        <f aca="false">Portfolio!H8</f>
        <v>11364</v>
      </c>
      <c r="C8" s="40" t="n">
        <f aca="false">Portfolio!G8</f>
        <v>6.16</v>
      </c>
      <c r="D8" s="31" t="n">
        <v>19.2</v>
      </c>
      <c r="E8" s="35" t="n">
        <f aca="false">B8*D8</f>
        <v>218188.8</v>
      </c>
      <c r="F8" s="36" t="n">
        <f aca="false">D8/C8-1</f>
        <v>2.11688311688312</v>
      </c>
      <c r="G8" s="41" t="n">
        <f aca="false">RANK(F8,$F$6:$F$17,0)</f>
        <v>1</v>
      </c>
      <c r="H8" s="42" t="str">
        <f aca="false">IF(G8&lt;=6,"KEEP (Top 6)","SOLD (Bottom 6)")</f>
        <v>KEEP (Top 6)</v>
      </c>
      <c r="I8" s="35" t="n">
        <f aca="false">IF(H8="SOLD (Bottom 6)",E8,0)</f>
        <v>0</v>
      </c>
      <c r="J8" s="35" t="n">
        <f aca="false">IF(H8="KEEP (Top 6)",$H$21,0)</f>
        <v>36367.2116666667</v>
      </c>
      <c r="K8" s="43" t="n">
        <f aca="false">IF(H8="KEEP (Top 6)",ROUND(J8/D8,0),0)</f>
        <v>1894</v>
      </c>
      <c r="L8" s="43" t="n">
        <f aca="false">IF(H8="KEEP (Top 6)",B8+K8,0)</f>
        <v>13258</v>
      </c>
      <c r="M8" s="40" t="n">
        <f aca="false">Portfolio!J8</f>
        <v>142.25</v>
      </c>
      <c r="N8" s="35" t="n">
        <f aca="false">L8*M8</f>
        <v>1885950.5</v>
      </c>
    </row>
    <row r="9" customFormat="false" ht="19.5" hidden="false" customHeight="true" outlineLevel="0" collapsed="false">
      <c r="A9" s="38" t="str">
        <f aca="false">Portfolio!A9</f>
        <v>AMD</v>
      </c>
      <c r="B9" s="39" t="n">
        <f aca="false">Portfolio!H9</f>
        <v>784</v>
      </c>
      <c r="C9" s="40" t="n">
        <f aca="false">Portfolio!G9</f>
        <v>51.05</v>
      </c>
      <c r="D9" s="31" t="n">
        <v>74.7</v>
      </c>
      <c r="E9" s="35" t="n">
        <f aca="false">B9*D9</f>
        <v>58564.8</v>
      </c>
      <c r="F9" s="36" t="n">
        <f aca="false">D9/C9-1</f>
        <v>0.463271302644466</v>
      </c>
      <c r="G9" s="41" t="n">
        <f aca="false">RANK(F9,$F$6:$F$17,0)</f>
        <v>6</v>
      </c>
      <c r="H9" s="42" t="str">
        <f aca="false">IF(G9&lt;=6,"KEEP (Top 6)","SOLD (Bottom 6)")</f>
        <v>KEEP (Top 6)</v>
      </c>
      <c r="I9" s="35" t="n">
        <f aca="false">IF(H9="SOLD (Bottom 6)",E9,0)</f>
        <v>0</v>
      </c>
      <c r="J9" s="35" t="n">
        <f aca="false">IF(H9="KEEP (Top 6)",$H$21,0)</f>
        <v>36367.2116666667</v>
      </c>
      <c r="K9" s="43" t="n">
        <f aca="false">IF(H9="KEEP (Top 6)",ROUND(J9/D9,0),0)</f>
        <v>487</v>
      </c>
      <c r="L9" s="43" t="n">
        <f aca="false">IF(H9="KEEP (Top 6)",B9+K9,0)</f>
        <v>1271</v>
      </c>
      <c r="M9" s="40" t="n">
        <f aca="false">Portfolio!J9</f>
        <v>122.84</v>
      </c>
      <c r="N9" s="35" t="n">
        <f aca="false">L9*M9</f>
        <v>156129.64</v>
      </c>
    </row>
    <row r="10" customFormat="false" ht="19.5" hidden="false" customHeight="true" outlineLevel="0" collapsed="false">
      <c r="A10" s="38" t="str">
        <f aca="false">Portfolio!A10</f>
        <v>CRM</v>
      </c>
      <c r="B10" s="39" t="n">
        <f aca="false">Portfolio!H10</f>
        <v>193</v>
      </c>
      <c r="C10" s="40" t="n">
        <f aca="false">Portfolio!G10</f>
        <v>181.8</v>
      </c>
      <c r="D10" s="31" t="n">
        <v>151.96</v>
      </c>
      <c r="E10" s="35" t="n">
        <f aca="false">B10*D10</f>
        <v>29328.28</v>
      </c>
      <c r="F10" s="36" t="n">
        <f aca="false">D10/C10-1</f>
        <v>-0.164136413641364</v>
      </c>
      <c r="G10" s="41" t="n">
        <f aca="false">RANK(F10,$F$6:$F$17,0)</f>
        <v>12</v>
      </c>
      <c r="H10" s="42" t="str">
        <f aca="false">IF(G10&lt;=6,"KEEP (Top 6)","SOLD (Bottom 6)")</f>
        <v>SOLD (Bottom 6)</v>
      </c>
      <c r="I10" s="35" t="n">
        <f aca="false">IF(H10="SOLD (Bottom 6)",E10,0)</f>
        <v>29328.28</v>
      </c>
      <c r="J10" s="35" t="n">
        <f aca="false">IF(H10="KEEP (Top 6)",$H$21,0)</f>
        <v>0</v>
      </c>
      <c r="K10" s="43" t="n">
        <f aca="false">IF(H10="KEEP (Top 6)",ROUND(J10/D10,0),0)</f>
        <v>0</v>
      </c>
      <c r="L10" s="43" t="n">
        <f aca="false">IF(H10="KEEP (Top 6)",B10+K10,0)</f>
        <v>0</v>
      </c>
      <c r="M10" s="40" t="n">
        <f aca="false">Portfolio!J10</f>
        <v>329.46</v>
      </c>
      <c r="N10" s="35" t="n">
        <f aca="false">L10*M10</f>
        <v>0</v>
      </c>
    </row>
    <row r="11" customFormat="false" ht="19.5" hidden="false" customHeight="true" outlineLevel="0" collapsed="false">
      <c r="A11" s="38" t="str">
        <f aca="false">Portfolio!A11</f>
        <v>ADBE</v>
      </c>
      <c r="B11" s="39" t="n">
        <f aca="false">Portfolio!H11</f>
        <v>86</v>
      </c>
      <c r="C11" s="40" t="n">
        <f aca="false">Portfolio!G11</f>
        <v>350</v>
      </c>
      <c r="D11" s="31" t="n">
        <v>361.32</v>
      </c>
      <c r="E11" s="35" t="n">
        <f aca="false">B11*D11</f>
        <v>31073.52</v>
      </c>
      <c r="F11" s="36" t="n">
        <f aca="false">D11/C11-1</f>
        <v>0.0323428571428572</v>
      </c>
      <c r="G11" s="41" t="n">
        <f aca="false">RANK(F11,$F$6:$F$17,0)</f>
        <v>11</v>
      </c>
      <c r="H11" s="42" t="str">
        <f aca="false">IF(G11&lt;=6,"KEEP (Top 6)","SOLD (Bottom 6)")</f>
        <v>SOLD (Bottom 6)</v>
      </c>
      <c r="I11" s="35" t="n">
        <f aca="false">IF(H11="SOLD (Bottom 6)",E11,0)</f>
        <v>31073.52</v>
      </c>
      <c r="J11" s="35" t="n">
        <f aca="false">IF(H11="KEEP (Top 6)",$H$21,0)</f>
        <v>0</v>
      </c>
      <c r="K11" s="43" t="n">
        <f aca="false">IF(H11="KEEP (Top 6)",ROUND(J11/D11,0),0)</f>
        <v>0</v>
      </c>
      <c r="L11" s="43" t="n">
        <f aca="false">IF(H11="KEEP (Top 6)",B11+K11,0)</f>
        <v>0</v>
      </c>
      <c r="M11" s="40" t="n">
        <f aca="false">Portfolio!J11</f>
        <v>435.38</v>
      </c>
      <c r="N11" s="35" t="n">
        <f aca="false">L11*M11</f>
        <v>0</v>
      </c>
    </row>
    <row r="12" customFormat="false" ht="19.5" hidden="false" customHeight="true" outlineLevel="0" collapsed="false">
      <c r="A12" s="38" t="str">
        <f aca="false">Portfolio!A12</f>
        <v>ACN</v>
      </c>
      <c r="B12" s="39" t="n">
        <f aca="false">Portfolio!H12</f>
        <v>107</v>
      </c>
      <c r="C12" s="40" t="n">
        <f aca="false">Portfolio!G12</f>
        <v>186.15</v>
      </c>
      <c r="D12" s="31" t="n">
        <v>255.13</v>
      </c>
      <c r="E12" s="35" t="n">
        <f aca="false">B12*D12</f>
        <v>27298.91</v>
      </c>
      <c r="F12" s="36" t="n">
        <f aca="false">D12/C12-1</f>
        <v>0.370561375235025</v>
      </c>
      <c r="G12" s="41" t="n">
        <f aca="false">RANK(F12,$F$6:$F$17,0)</f>
        <v>7</v>
      </c>
      <c r="H12" s="42" t="str">
        <f aca="false">IF(G12&lt;=6,"KEEP (Top 6)","SOLD (Bottom 6)")</f>
        <v>SOLD (Bottom 6)</v>
      </c>
      <c r="I12" s="35" t="n">
        <f aca="false">IF(H12="SOLD (Bottom 6)",E12,0)</f>
        <v>27298.91</v>
      </c>
      <c r="J12" s="35" t="n">
        <f aca="false">IF(H12="KEEP (Top 6)",$H$21,0)</f>
        <v>0</v>
      </c>
      <c r="K12" s="43" t="n">
        <f aca="false">IF(H12="KEEP (Top 6)",ROUND(J12/D12,0),0)</f>
        <v>0</v>
      </c>
      <c r="L12" s="43" t="n">
        <f aca="false">IF(H12="KEEP (Top 6)",B12+K12,0)</f>
        <v>0</v>
      </c>
      <c r="M12" s="40" t="n">
        <f aca="false">Portfolio!J12</f>
        <v>347.28</v>
      </c>
      <c r="N12" s="35" t="n">
        <f aca="false">L12*M12</f>
        <v>0</v>
      </c>
    </row>
    <row r="13" customFormat="false" ht="19.5" hidden="false" customHeight="true" outlineLevel="0" collapsed="false">
      <c r="A13" s="38" t="str">
        <f aca="false">Portfolio!A13</f>
        <v>IBM</v>
      </c>
      <c r="B13" s="39" t="n">
        <f aca="false">Portfolio!H13</f>
        <v>199</v>
      </c>
      <c r="C13" s="40" t="n">
        <f aca="false">Portfolio!G13</f>
        <v>100.73</v>
      </c>
      <c r="D13" s="31" t="n">
        <v>124.28</v>
      </c>
      <c r="E13" s="35" t="n">
        <f aca="false">B13*D13</f>
        <v>24731.72</v>
      </c>
      <c r="F13" s="36" t="n">
        <f aca="false">D13/C13-1</f>
        <v>0.233793308845428</v>
      </c>
      <c r="G13" s="41" t="n">
        <f aca="false">RANK(F13,$F$6:$F$17,0)</f>
        <v>9</v>
      </c>
      <c r="H13" s="42" t="str">
        <f aca="false">IF(G13&lt;=6,"KEEP (Top 6)","SOLD (Bottom 6)")</f>
        <v>SOLD (Bottom 6)</v>
      </c>
      <c r="I13" s="35" t="n">
        <f aca="false">IF(H13="SOLD (Bottom 6)",E13,0)</f>
        <v>24731.72</v>
      </c>
      <c r="J13" s="35" t="n">
        <f aca="false">IF(H13="KEEP (Top 6)",$H$21,0)</f>
        <v>0</v>
      </c>
      <c r="K13" s="43" t="n">
        <f aca="false">IF(H13="KEEP (Top 6)",ROUND(J13/D13,0),0)</f>
        <v>0</v>
      </c>
      <c r="L13" s="43" t="n">
        <f aca="false">IF(H13="KEEP (Top 6)",B13+K13,0)</f>
        <v>0</v>
      </c>
      <c r="M13" s="40" t="n">
        <f aca="false">Portfolio!J13</f>
        <v>214.76</v>
      </c>
      <c r="N13" s="35" t="n">
        <f aca="false">L13*M13</f>
        <v>0</v>
      </c>
    </row>
    <row r="14" customFormat="false" ht="19.5" hidden="false" customHeight="true" outlineLevel="0" collapsed="false">
      <c r="A14" s="38" t="str">
        <f aca="false">Portfolio!A14</f>
        <v>JNJ</v>
      </c>
      <c r="B14" s="39" t="n">
        <f aca="false">Portfolio!H14</f>
        <v>484</v>
      </c>
      <c r="C14" s="40" t="n">
        <f aca="false">Portfolio!G14</f>
        <v>124.07</v>
      </c>
      <c r="D14" s="31" t="n">
        <v>151.19</v>
      </c>
      <c r="E14" s="35" t="n">
        <f aca="false">B14*D14</f>
        <v>73175.96</v>
      </c>
      <c r="F14" s="36" t="n">
        <f aca="false">D14/C14-1</f>
        <v>0.218586281937616</v>
      </c>
      <c r="G14" s="41" t="n">
        <f aca="false">RANK(F14,$F$6:$F$17,0)</f>
        <v>10</v>
      </c>
      <c r="H14" s="42" t="str">
        <f aca="false">IF(G14&lt;=6,"KEEP (Top 6)","SOLD (Bottom 6)")</f>
        <v>SOLD (Bottom 6)</v>
      </c>
      <c r="I14" s="35" t="n">
        <f aca="false">IF(H14="SOLD (Bottom 6)",E14,0)</f>
        <v>73175.96</v>
      </c>
      <c r="J14" s="35" t="n">
        <f aca="false">IF(H14="KEEP (Top 6)",$H$21,0)</f>
        <v>0</v>
      </c>
      <c r="K14" s="43" t="n">
        <f aca="false">IF(H14="KEEP (Top 6)",ROUND(J14/D14,0),0)</f>
        <v>0</v>
      </c>
      <c r="L14" s="43" t="n">
        <f aca="false">IF(H14="KEEP (Top 6)",B14+K14,0)</f>
        <v>0</v>
      </c>
      <c r="M14" s="40" t="n">
        <f aca="false">Portfolio!J14</f>
        <v>140.19</v>
      </c>
      <c r="N14" s="35" t="n">
        <f aca="false">L14*M14</f>
        <v>0</v>
      </c>
    </row>
    <row r="15" customFormat="false" ht="19.5" hidden="false" customHeight="true" outlineLevel="0" collapsed="false">
      <c r="A15" s="38" t="str">
        <f aca="false">Portfolio!A15</f>
        <v>PFE</v>
      </c>
      <c r="B15" s="39" t="n">
        <f aca="false">Portfolio!H15</f>
        <v>912</v>
      </c>
      <c r="C15" s="40" t="n">
        <f aca="false">Portfolio!G15</f>
        <v>27.4</v>
      </c>
      <c r="D15" s="31" t="n">
        <v>35.74</v>
      </c>
      <c r="E15" s="35" t="n">
        <f aca="false">B15*D15</f>
        <v>32594.88</v>
      </c>
      <c r="F15" s="36" t="n">
        <f aca="false">D15/C15-1</f>
        <v>0.304379562043796</v>
      </c>
      <c r="G15" s="41" t="n">
        <f aca="false">RANK(F15,$F$6:$F$17,0)</f>
        <v>8</v>
      </c>
      <c r="H15" s="42" t="str">
        <f aca="false">IF(G15&lt;=6,"KEEP (Top 6)","SOLD (Bottom 6)")</f>
        <v>SOLD (Bottom 6)</v>
      </c>
      <c r="I15" s="35" t="n">
        <f aca="false">IF(H15="SOLD (Bottom 6)",E15,0)</f>
        <v>32594.88</v>
      </c>
      <c r="J15" s="35" t="n">
        <f aca="false">IF(H15="KEEP (Top 6)",$H$21,0)</f>
        <v>0</v>
      </c>
      <c r="K15" s="43" t="n">
        <f aca="false">IF(H15="KEEP (Top 6)",ROUND(J15/D15,0),0)</f>
        <v>0</v>
      </c>
      <c r="L15" s="43" t="n">
        <f aca="false">IF(H15="KEEP (Top 6)",B15+K15,0)</f>
        <v>0</v>
      </c>
      <c r="M15" s="40" t="n">
        <f aca="false">Portfolio!J15</f>
        <v>23.52</v>
      </c>
      <c r="N15" s="35" t="n">
        <f aca="false">L15*M15</f>
        <v>0</v>
      </c>
    </row>
    <row r="16" customFormat="false" ht="19.5" hidden="false" customHeight="true" outlineLevel="0" collapsed="false">
      <c r="A16" s="38" t="str">
        <f aca="false">Portfolio!A16</f>
        <v>UNH</v>
      </c>
      <c r="B16" s="39" t="n">
        <f aca="false">Portfolio!H16</f>
        <v>243</v>
      </c>
      <c r="C16" s="40" t="n">
        <f aca="false">Portfolio!G16</f>
        <v>267.26</v>
      </c>
      <c r="D16" s="31" t="n">
        <v>456.38</v>
      </c>
      <c r="E16" s="35" t="n">
        <f aca="false">B16*D16</f>
        <v>110900.34</v>
      </c>
      <c r="F16" s="36" t="n">
        <f aca="false">D16/C16-1</f>
        <v>0.707625533188655</v>
      </c>
      <c r="G16" s="41" t="n">
        <f aca="false">RANK(F16,$F$6:$F$17,0)</f>
        <v>2</v>
      </c>
      <c r="H16" s="42" t="str">
        <f aca="false">IF(G16&lt;=6,"KEEP (Top 6)","SOLD (Bottom 6)")</f>
        <v>KEEP (Top 6)</v>
      </c>
      <c r="I16" s="35" t="n">
        <f aca="false">IF(H16="SOLD (Bottom 6)",E16,0)</f>
        <v>0</v>
      </c>
      <c r="J16" s="35" t="n">
        <f aca="false">IF(H16="KEEP (Top 6)",$H$21,0)</f>
        <v>36367.2116666667</v>
      </c>
      <c r="K16" s="43" t="n">
        <f aca="false">IF(H16="KEEP (Top 6)",ROUND(J16/D16,0),0)</f>
        <v>80</v>
      </c>
      <c r="L16" s="43" t="n">
        <f aca="false">IF(H16="KEEP (Top 6)",B16+K16,0)</f>
        <v>323</v>
      </c>
      <c r="M16" s="40" t="n">
        <f aca="false">Portfolio!J16</f>
        <v>509.64</v>
      </c>
      <c r="N16" s="35" t="n">
        <f aca="false">L16*M16</f>
        <v>164613.72</v>
      </c>
    </row>
    <row r="17" customFormat="false" ht="19.5" hidden="false" customHeight="true" outlineLevel="0" collapsed="false">
      <c r="A17" s="38" t="str">
        <f aca="false">Portfolio!A17</f>
        <v>CI</v>
      </c>
      <c r="B17" s="39" t="n">
        <f aca="false">Portfolio!H17</f>
        <v>131</v>
      </c>
      <c r="C17" s="40" t="n">
        <f aca="false">Portfolio!G17</f>
        <v>191.55</v>
      </c>
      <c r="D17" s="31" t="n">
        <v>287.62</v>
      </c>
      <c r="E17" s="35" t="n">
        <f aca="false">B17*D17</f>
        <v>37678.22</v>
      </c>
      <c r="F17" s="36" t="n">
        <f aca="false">D17/C17-1</f>
        <v>0.501540067867398</v>
      </c>
      <c r="G17" s="41" t="n">
        <f aca="false">RANK(F17,$F$6:$F$17,0)</f>
        <v>4</v>
      </c>
      <c r="H17" s="42" t="str">
        <f aca="false">IF(G17&lt;=6,"KEEP (Top 6)","SOLD (Bottom 6)")</f>
        <v>KEEP (Top 6)</v>
      </c>
      <c r="I17" s="35" t="n">
        <f aca="false">IF(H17="SOLD (Bottom 6)",E17,0)</f>
        <v>0</v>
      </c>
      <c r="J17" s="35" t="n">
        <f aca="false">IF(H17="KEEP (Top 6)",$H$21,0)</f>
        <v>36367.2116666667</v>
      </c>
      <c r="K17" s="43" t="n">
        <f aca="false">IF(H17="KEEP (Top 6)",ROUND(J17/D17,0),0)</f>
        <v>126</v>
      </c>
      <c r="L17" s="43" t="n">
        <f aca="false">IF(H17="KEEP (Top 6)",B17+K17,0)</f>
        <v>257</v>
      </c>
      <c r="M17" s="40" t="n">
        <f aca="false">Portfolio!J17</f>
        <v>282.89</v>
      </c>
      <c r="N17" s="35" t="n">
        <f aca="false">L17*M17</f>
        <v>72702.73</v>
      </c>
    </row>
    <row r="18" customFormat="false" ht="15" hidden="false" customHeight="false" outlineLevel="0" collapsed="false">
      <c r="A18" s="37" t="s">
        <v>73</v>
      </c>
      <c r="B18" s="20"/>
      <c r="C18" s="20"/>
      <c r="D18" s="20"/>
      <c r="E18" s="19" t="n">
        <f aca="false">SUM(E6:E17)</f>
        <v>784469.59</v>
      </c>
      <c r="F18" s="20"/>
      <c r="G18" s="20"/>
      <c r="H18" s="20"/>
      <c r="I18" s="19" t="n">
        <f aca="false">SUM(I6:I17)</f>
        <v>218203.27</v>
      </c>
      <c r="J18" s="20"/>
      <c r="K18" s="20"/>
      <c r="L18" s="20"/>
      <c r="M18" s="20"/>
      <c r="N18" s="19" t="n">
        <f aca="false">SUM(N6:N17)</f>
        <v>2698548.2</v>
      </c>
    </row>
    <row r="21" customFormat="false" ht="15" hidden="false" customHeight="false" outlineLevel="0" collapsed="false">
      <c r="A21" s="44" t="s">
        <v>92</v>
      </c>
      <c r="B21" s="44"/>
      <c r="C21" s="44"/>
      <c r="D21" s="44"/>
      <c r="E21" s="44"/>
      <c r="F21" s="44"/>
      <c r="H21" s="24" t="n">
        <f aca="false">I18/6</f>
        <v>36367.2116666667</v>
      </c>
    </row>
    <row r="23" customFormat="false" ht="15" hidden="false" customHeight="false" outlineLevel="0" collapsed="false">
      <c r="A23" s="44" t="s">
        <v>93</v>
      </c>
      <c r="B23" s="44"/>
      <c r="C23" s="44"/>
      <c r="D23" s="44"/>
      <c r="E23" s="44"/>
      <c r="F23" s="44"/>
      <c r="H23" s="24" t="n">
        <f aca="false">SUMPRODUCT(B6:B17,M6:M17)</f>
        <v>2418868.99</v>
      </c>
    </row>
    <row r="24" customFormat="false" ht="15" hidden="false" customHeight="false" outlineLevel="0" collapsed="false">
      <c r="A24" s="44" t="s">
        <v>94</v>
      </c>
      <c r="B24" s="44"/>
      <c r="C24" s="44"/>
      <c r="D24" s="44"/>
      <c r="E24" s="44"/>
      <c r="F24" s="44"/>
      <c r="H24" s="24" t="n">
        <f aca="false">N18</f>
        <v>2698548.2</v>
      </c>
    </row>
    <row r="25" customFormat="false" ht="15" hidden="false" customHeight="false" outlineLevel="0" collapsed="false">
      <c r="A25" s="44" t="s">
        <v>95</v>
      </c>
      <c r="B25" s="44"/>
      <c r="C25" s="44"/>
      <c r="D25" s="44"/>
      <c r="E25" s="44"/>
      <c r="F25" s="44"/>
      <c r="H25" s="24" t="n">
        <f aca="false">H24-H23</f>
        <v>279679.21</v>
      </c>
    </row>
    <row r="26" customFormat="false" ht="15" hidden="false" customHeight="false" outlineLevel="0" collapsed="false">
      <c r="A26" s="44" t="s">
        <v>96</v>
      </c>
      <c r="B26" s="44"/>
      <c r="C26" s="44"/>
      <c r="D26" s="44"/>
      <c r="E26" s="44"/>
      <c r="F26" s="44"/>
      <c r="H26" s="45" t="n">
        <f aca="false">H24/H23-1</f>
        <v>0.115623959443955</v>
      </c>
    </row>
    <row r="28" customFormat="false" ht="25.5" hidden="false" customHeight="true" outlineLevel="0" collapsed="false">
      <c r="A28" s="27" t="s">
        <v>97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</row>
  </sheetData>
  <mergeCells count="8">
    <mergeCell ref="A1:N1"/>
    <mergeCell ref="A2:N2"/>
    <mergeCell ref="A21:F21"/>
    <mergeCell ref="A23:F23"/>
    <mergeCell ref="A24:F24"/>
    <mergeCell ref="A25:F25"/>
    <mergeCell ref="A26:F26"/>
    <mergeCell ref="A28:N28"/>
  </mergeCells>
  <conditionalFormatting sqref="H6:H17">
    <cfRule type="containsText" priority="2" operator="containsText" aboveAverage="0" equalAverage="0" bottom="0" percent="0" rank="0" text="KEEP" dxfId="13">
      <formula>NOT(ISERROR(SEARCH("KEEP",H6)))</formula>
    </cfRule>
    <cfRule type="containsText" priority="3" operator="containsText" aboveAverage="0" equalAverage="0" bottom="0" percent="0" rank="0" text="SOLD" dxfId="14">
      <formula>NOT(ISERROR(SEARCH("SOLD",H6)))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2026-09-27T22:06:35Z</dcterms:created>
  <dc:creator>openpyxl</dc:creator>
  <dc:description/>
  <dc:language>en-US</dc:language>
  <cp:lastModifiedBy/>
  <dcterms:modified xsi:type="dcterms:W3CDTF">2026-09-27T18:06:38Z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